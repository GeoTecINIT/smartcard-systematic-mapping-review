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\\wsl.localhost\openSUSE-Tumbleweed\home\leo\VCodeProjects\smartcard-systematic-mapping-review\datasets\"/>
    </mc:Choice>
  </mc:AlternateContent>
  <xr:revisionPtr revIDLastSave="0" documentId="13_ncr:1_{92D3A6FE-9F70-4D42-A6C3-5979937EB251}" xr6:coauthVersionLast="47" xr6:coauthVersionMax="47" xr10:uidLastSave="{00000000-0000-0000-0000-000000000000}"/>
  <bookViews>
    <workbookView xWindow="-28920" yWindow="-120" windowWidth="29040" windowHeight="16440" tabRatio="500" xr2:uid="{00000000-000D-0000-FFFF-FFFF00000000}"/>
  </bookViews>
  <sheets>
    <sheet name="default_1" sheetId="1" r:id="rId1"/>
    <sheet name="Hoja1" sheetId="2" r:id="rId2"/>
  </sheets>
  <definedNames>
    <definedName name="_xlnm._FilterDatabase" localSheetId="0" hidden="1">default_1!$A$1:$AC$178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E70" i="1" l="1"/>
  <c r="E31" i="1"/>
  <c r="E95" i="1"/>
  <c r="E80" i="1"/>
  <c r="E9" i="1"/>
  <c r="E82" i="1"/>
  <c r="E10" i="1"/>
  <c r="E69" i="1"/>
  <c r="E39" i="1"/>
  <c r="E66" i="1"/>
  <c r="E11" i="1"/>
  <c r="E29" i="1"/>
  <c r="E122" i="1"/>
  <c r="E43" i="1"/>
  <c r="E33" i="1"/>
  <c r="E40" i="1"/>
  <c r="E137" i="1"/>
  <c r="E62" i="1"/>
  <c r="E81" i="1"/>
  <c r="E64" i="1"/>
  <c r="E12" i="1"/>
  <c r="E71" i="1"/>
  <c r="E65" i="1"/>
  <c r="E109" i="1"/>
  <c r="E35" i="1"/>
  <c r="E52" i="1"/>
  <c r="E17" i="1"/>
  <c r="E130" i="1"/>
  <c r="E34" i="1"/>
  <c r="E141" i="1"/>
  <c r="E16" i="1"/>
  <c r="E63" i="1"/>
  <c r="E118" i="1"/>
  <c r="E51" i="1"/>
  <c r="E26" i="1"/>
  <c r="E18" i="1"/>
  <c r="E89" i="1"/>
  <c r="E8" i="1"/>
  <c r="E38" i="1"/>
  <c r="E88" i="1"/>
  <c r="E86" i="1"/>
  <c r="E120" i="1"/>
  <c r="E22" i="1"/>
  <c r="E133" i="1"/>
  <c r="E21" i="1"/>
  <c r="E48" i="1"/>
  <c r="E131" i="1"/>
  <c r="E61" i="1"/>
  <c r="E58" i="1"/>
  <c r="E119" i="1"/>
  <c r="E53" i="1"/>
  <c r="E56" i="1"/>
  <c r="E25" i="1"/>
  <c r="E45" i="1"/>
  <c r="E5" i="1"/>
  <c r="E129" i="1"/>
  <c r="E139" i="1"/>
  <c r="E127" i="1"/>
  <c r="E13" i="1"/>
  <c r="E46" i="1"/>
  <c r="E126" i="1"/>
  <c r="E7" i="1"/>
  <c r="E67" i="1"/>
  <c r="E24" i="1"/>
  <c r="E103" i="1"/>
  <c r="E84" i="1"/>
  <c r="E104" i="1"/>
  <c r="E142" i="1"/>
  <c r="E3" i="1"/>
  <c r="E134" i="1"/>
  <c r="E44" i="1"/>
  <c r="E78" i="1"/>
  <c r="E72" i="1"/>
  <c r="E30" i="1"/>
  <c r="E32" i="1"/>
  <c r="E49" i="1"/>
  <c r="E59" i="1"/>
  <c r="E91" i="1"/>
  <c r="E76" i="1"/>
  <c r="E105" i="1"/>
  <c r="E128" i="1"/>
  <c r="E99" i="1"/>
  <c r="E54" i="1"/>
  <c r="E4" i="1"/>
  <c r="E117" i="1"/>
  <c r="E107" i="1"/>
  <c r="E20" i="1"/>
  <c r="E27" i="1"/>
  <c r="E42" i="1"/>
  <c r="E57" i="1"/>
  <c r="E41" i="1"/>
  <c r="E87" i="1"/>
  <c r="E138" i="1"/>
  <c r="E113" i="1"/>
  <c r="E23" i="1"/>
  <c r="E37" i="1"/>
  <c r="E123" i="1"/>
  <c r="E101" i="1"/>
  <c r="E36" i="1"/>
  <c r="E115" i="1"/>
  <c r="E140" i="1"/>
  <c r="E79" i="1"/>
  <c r="E108" i="1"/>
  <c r="E114" i="1"/>
  <c r="E60" i="1"/>
  <c r="E19" i="1"/>
  <c r="E74" i="1"/>
  <c r="E98" i="1"/>
  <c r="E73" i="1"/>
  <c r="E116" i="1"/>
  <c r="E112" i="1"/>
  <c r="E100" i="1"/>
  <c r="E14" i="1"/>
  <c r="E136" i="1"/>
  <c r="E77" i="1"/>
  <c r="E2" i="1"/>
  <c r="E93" i="1"/>
  <c r="E15" i="1"/>
  <c r="E50" i="1"/>
  <c r="E28" i="1"/>
  <c r="E75" i="1"/>
  <c r="E90" i="1"/>
  <c r="E125" i="1"/>
  <c r="E92" i="1"/>
  <c r="E47" i="1"/>
  <c r="E121" i="1"/>
  <c r="E135" i="1"/>
  <c r="E83" i="1"/>
  <c r="E111" i="1"/>
  <c r="E102" i="1"/>
  <c r="E97" i="1"/>
  <c r="E6" i="1"/>
  <c r="E110" i="1"/>
  <c r="E96" i="1"/>
  <c r="E85" i="1"/>
  <c r="E55" i="1"/>
  <c r="E68" i="1"/>
  <c r="E124" i="1"/>
  <c r="E94" i="1"/>
  <c r="E132" i="1"/>
  <c r="E143" i="1"/>
  <c r="E174" i="1"/>
  <c r="E176" i="1"/>
  <c r="E175" i="1"/>
  <c r="E164" i="1"/>
  <c r="E163" i="1"/>
  <c r="E168" i="1"/>
  <c r="E165" i="1"/>
  <c r="E169" i="1"/>
  <c r="E161" i="1"/>
  <c r="E162" i="1"/>
  <c r="E171" i="1"/>
  <c r="E166" i="1"/>
  <c r="E158" i="1"/>
  <c r="E159" i="1"/>
  <c r="E149" i="1"/>
  <c r="E172" i="1"/>
  <c r="E167" i="1"/>
  <c r="E154" i="1"/>
  <c r="E157" i="1"/>
  <c r="E153" i="1"/>
  <c r="E173" i="1"/>
  <c r="E170" i="1"/>
  <c r="E155" i="1"/>
  <c r="E156" i="1"/>
  <c r="E151" i="1"/>
  <c r="E152" i="1"/>
  <c r="E147" i="1"/>
  <c r="E144" i="1"/>
  <c r="E146" i="1"/>
  <c r="E160" i="1"/>
  <c r="E145" i="1"/>
  <c r="E177" i="1"/>
  <c r="E148" i="1"/>
  <c r="E150" i="1"/>
  <c r="E106" i="1"/>
  <c r="X2" i="2" a="1"/>
  <c r="X2" i="2" s="1"/>
  <c r="R2" i="2" a="1"/>
  <c r="R2" i="2" s="1"/>
  <c r="G3" i="2" a="1"/>
  <c r="G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<sst xmlns="http://schemas.openxmlformats.org/spreadsheetml/2006/main" count="4139" uniqueCount="1596">
  <si>
    <t>Author Full Names</t>
  </si>
  <si>
    <t>Journal ISO Abbreviation</t>
  </si>
  <si>
    <t>Publication Date</t>
  </si>
  <si>
    <t>Publication Year</t>
  </si>
  <si>
    <t>DOI</t>
  </si>
  <si>
    <t>ID</t>
  </si>
  <si>
    <t>Total number transactions</t>
  </si>
  <si>
    <t>Days</t>
  </si>
  <si>
    <t>Year(s)</t>
  </si>
  <si>
    <t>Study Area</t>
  </si>
  <si>
    <t>Structure</t>
  </si>
  <si>
    <t>Only dataset</t>
  </si>
  <si>
    <t>Main dataset</t>
  </si>
  <si>
    <t>Data accessibility</t>
  </si>
  <si>
    <t>Derived</t>
  </si>
  <si>
    <t>Derived from</t>
  </si>
  <si>
    <t>Preprocessed</t>
  </si>
  <si>
    <t>Features</t>
  </si>
  <si>
    <t>Validation metrics</t>
  </si>
  <si>
    <t>Tools</t>
  </si>
  <si>
    <t>Domain</t>
  </si>
  <si>
    <t>Wang, Lewen; Wang, Yu; Sun, Xiaofei; Wu, Yizheng; Peng, Fei; Chen, Chun-Hung Peter; Song, Guohua</t>
  </si>
  <si>
    <t>J. Transp. Eng. Pt A-Syst.</t>
  </si>
  <si>
    <t>APR 1</t>
  </si>
  <si>
    <t>10.1061/JTEPBS.TEENG-7634</t>
  </si>
  <si>
    <t>P106</t>
  </si>
  <si>
    <t>Multimodal</t>
  </si>
  <si>
    <t>2019</t>
  </si>
  <si>
    <t>Beijing, China</t>
  </si>
  <si>
    <t>Closed</t>
  </si>
  <si>
    <t>Classification</t>
  </si>
  <si>
    <t>Passenger profiling algorithm</t>
  </si>
  <si>
    <t>Clustering</t>
  </si>
  <si>
    <t>K-means clustering</t>
  </si>
  <si>
    <t>Silhouette score</t>
  </si>
  <si>
    <t>Transportation</t>
  </si>
  <si>
    <t>Yen, Barbara T. H.; Mulley, Corinne; Yeh, Chia -Jung</t>
  </si>
  <si>
    <t>J. Transp. Geogr.</t>
  </si>
  <si>
    <t>APR</t>
  </si>
  <si>
    <t>10.1016/j.jtrangeo.2023.103569</t>
  </si>
  <si>
    <t>P070</t>
  </si>
  <si>
    <t>2018</t>
  </si>
  <si>
    <t>Taipei City, Taiwan</t>
  </si>
  <si>
    <t>POI</t>
  </si>
  <si>
    <t>Origin-Destination</t>
  </si>
  <si>
    <t>Time saving algorithm</t>
  </si>
  <si>
    <t>Authors algorithm</t>
  </si>
  <si>
    <t xml:space="preserve">Travel time savings;walking speed (Bohannon and Andrews,2011; Fruin, 1971) </t>
  </si>
  <si>
    <t>Cheng, Long; Huang, Jie; Jin, Tanhua; Chen, Wendong; Li, Aoyong; Witlox, Frank</t>
  </si>
  <si>
    <t>FEB</t>
  </si>
  <si>
    <t>10.1016/j.jtrangeo.2023.103545</t>
  </si>
  <si>
    <t>P031</t>
  </si>
  <si>
    <t>Bike</t>
  </si>
  <si>
    <t>2017</t>
  </si>
  <si>
    <t>Nanjing, China</t>
  </si>
  <si>
    <t>Social/Demographic/Economic;Social/Demographic/Economic;Layers;Layers;Land use;Layers;Network;Meteorological</t>
  </si>
  <si>
    <t>Performance indicators</t>
  </si>
  <si>
    <t>Generalised additive mixed model</t>
  </si>
  <si>
    <t>Regression</t>
  </si>
  <si>
    <t>SBBS-metro integrated use, FFBS-metro integrated use, Population density, Employment density, Street connectivity, Road density, Land use mix3, Distance to CBD, Number of feeder bus lines, Rainfall, Temperature, Time of day, Day of week</t>
  </si>
  <si>
    <t>estimated degree of freedom;R²;confidence intervals</t>
  </si>
  <si>
    <t>Shalit, Nadav; Fire, Michael; Ben-Elia, Eran</t>
  </si>
  <si>
    <t>Public Transport</t>
  </si>
  <si>
    <t>JUN</t>
  </si>
  <si>
    <t>10.1007/s12469-022-00309-0</t>
  </si>
  <si>
    <t>P007</t>
  </si>
  <si>
    <t>Beer Sheva, Israel;Kiryat Gat, Israel</t>
  </si>
  <si>
    <t>Open-Closed</t>
  </si>
  <si>
    <t>Transit Feed;Layers</t>
  </si>
  <si>
    <t>Data preprocessing</t>
  </si>
  <si>
    <t>Game theory;Classification;Classification;Classification</t>
  </si>
  <si>
    <t>Addresses_average;Street_light_average;Traffic_Lights_average;Number_of_points;Average_distance_per_stop;Average_time_per_stop;Average_points_to_stops;Time_diff_of_trip;Time_from_boarding_to_last_stop;Time_from_departure_to_boarding;Predicted_sequence;Hourly_expected_lateness;Boardingtime_Seconds_from_midnight;Boardingtime_weekday;Is_weekend</t>
  </si>
  <si>
    <t>Accuracy;TPR;PPV;F-Score;AUC;RMSE;Shapely values</t>
  </si>
  <si>
    <t>Cerqueira, Sofia; Arsenio, Elisabete; Henriques, Rui</t>
  </si>
  <si>
    <t>Eur. Transp. Res. Rev.</t>
  </si>
  <si>
    <t>DEC</t>
  </si>
  <si>
    <t>10.1186/s12544-022-00562-1</t>
  </si>
  <si>
    <t>P080</t>
  </si>
  <si>
    <t>Lisbon, Portugal</t>
  </si>
  <si>
    <t>OD matrix</t>
  </si>
  <si>
    <t>Python;SQL;Plotly.js</t>
  </si>
  <si>
    <t>Shin, Yonggeun; Kim, Dong-Kyu; Kim, Eui-Jin</t>
  </si>
  <si>
    <t>10.1016/j.jtrangeo.2022.103459</t>
  </si>
  <si>
    <t>P008</t>
  </si>
  <si>
    <t>Seoul, South Korea</t>
  </si>
  <si>
    <t>Land use</t>
  </si>
  <si>
    <t>Hidden Markov Model;k-means</t>
  </si>
  <si>
    <t>activity sequence</t>
  </si>
  <si>
    <t>AIC;BIC</t>
  </si>
  <si>
    <t>Urban planning</t>
  </si>
  <si>
    <t>Hossain, Sanjana; Habib, Khandker Nurul</t>
  </si>
  <si>
    <t>Transp. Res. Pt. A-Policy Pract.</t>
  </si>
  <si>
    <t>NOV</t>
  </si>
  <si>
    <t>10.1016/j.tra.2022.09.010</t>
  </si>
  <si>
    <t>P082</t>
  </si>
  <si>
    <t>2016</t>
  </si>
  <si>
    <t>Greater Toronto and Hamilton Area, Canada</t>
  </si>
  <si>
    <t>POI;Land use;Network;Survey</t>
  </si>
  <si>
    <t>Authors algorithm;Regression</t>
  </si>
  <si>
    <t>MMNL</t>
  </si>
  <si>
    <t>AIC;BIC;t-Value;log likelihood ratios;log likelihood ratios</t>
  </si>
  <si>
    <t>Lee, Haengju; Eun, Yongsoon</t>
  </si>
  <si>
    <t>IEEE Trans. Intell. Transp. Syst.</t>
  </si>
  <si>
    <t>10.1109/TITS.2022.3203705</t>
  </si>
  <si>
    <t>P010</t>
  </si>
  <si>
    <t>Subway</t>
  </si>
  <si>
    <t>Daegu, South Korea</t>
  </si>
  <si>
    <t>Layers</t>
  </si>
  <si>
    <t>Passengers flow</t>
  </si>
  <si>
    <t>Linear programming;Dynamic programming;Poisson distribution</t>
  </si>
  <si>
    <t>Optimization;Optimization;Clustering</t>
  </si>
  <si>
    <t>Performance</t>
  </si>
  <si>
    <t>Marketing</t>
  </si>
  <si>
    <t>Shi, Zhuangbin; Liu, Yang; He, Mingwei; Liu, Qiyang</t>
  </si>
  <si>
    <t>J. Adv. Transp.</t>
  </si>
  <si>
    <t>AUG 22</t>
  </si>
  <si>
    <t>10.1155/2022/2080552</t>
  </si>
  <si>
    <t>P069</t>
  </si>
  <si>
    <t>Pattern analysis</t>
  </si>
  <si>
    <t>Gradient boosting</t>
  </si>
  <si>
    <t>Environmental variables (Tabla 2)</t>
  </si>
  <si>
    <t>R²;VIF</t>
  </si>
  <si>
    <t>Socio-economic / demographic</t>
  </si>
  <si>
    <t>Wu, Pan; Xu, Lunhui; Zhong, Lingshu; Gao, Kun; Qu, Xiaobo; Pei, Mingyang</t>
  </si>
  <si>
    <t>OCT</t>
  </si>
  <si>
    <t>10.1016/j.jtrangeo.2022.103415</t>
  </si>
  <si>
    <t>P112</t>
  </si>
  <si>
    <t>Shenzhen, China</t>
  </si>
  <si>
    <t>Meteorological;Social/Demographic/Economic;POI;Layers</t>
  </si>
  <si>
    <t>Multiple linear regression;GWR</t>
  </si>
  <si>
    <t>Regression;Regression</t>
  </si>
  <si>
    <t>AIC;AIC;R²;RSS;t-Value;F-Score;Moran's I</t>
  </si>
  <si>
    <t>Chen, Ruoyu; Zhou, Jiangping</t>
  </si>
  <si>
    <t>10.1016/j.tra.2022.08.003</t>
  </si>
  <si>
    <t>P066</t>
  </si>
  <si>
    <t>2018-2019</t>
  </si>
  <si>
    <t>Wuhan, China</t>
  </si>
  <si>
    <t>LDA;Descriptive statistics</t>
  </si>
  <si>
    <t>Language model;Descriptive statistics</t>
  </si>
  <si>
    <t>Trip frequency;Destination stickiness index</t>
  </si>
  <si>
    <t>t-Value</t>
  </si>
  <si>
    <t>Matlab</t>
  </si>
  <si>
    <t>Liyanage, Sohani; Abduljabbar, Rusul; Dia, Hussein; Tsai, Pei -Wei</t>
  </si>
  <si>
    <t>J. Urban Manag.</t>
  </si>
  <si>
    <t>SEP</t>
  </si>
  <si>
    <t>10.1016/j.jum.2022.05.002</t>
  </si>
  <si>
    <t>P011</t>
  </si>
  <si>
    <t>Bus</t>
  </si>
  <si>
    <t>Melbourne, Australia</t>
  </si>
  <si>
    <t>Demand forecasting</t>
  </si>
  <si>
    <t>Long short-term memory;Bidirectional Long short-term memory;Unidirectional Long short-term memory</t>
  </si>
  <si>
    <t>Deep learning;Deep learning;Deep learning</t>
  </si>
  <si>
    <t>MAPE;MAE;RMSE;R²</t>
  </si>
  <si>
    <t>Ye, Pengyao; Ma, Yiqing</t>
  </si>
  <si>
    <t>Transp. Res. Record</t>
  </si>
  <si>
    <t>10.1177/03611981221111355</t>
  </si>
  <si>
    <t>P029</t>
  </si>
  <si>
    <t>Chengdu, China</t>
  </si>
  <si>
    <t>Open</t>
  </si>
  <si>
    <t>Logistic regression;n-gram;DBSCAN</t>
  </si>
  <si>
    <t>Regression;Language model;Clustering</t>
  </si>
  <si>
    <t>n-gram (Zhao et al. 2018)</t>
  </si>
  <si>
    <t>Accuracy</t>
  </si>
  <si>
    <t>Ye, Pengyao; Deng, Yifeng; Yang, Hong; Fan, Wenbo</t>
  </si>
  <si>
    <t>10.1177/03611981221110229</t>
  </si>
  <si>
    <t>P122</t>
  </si>
  <si>
    <t>Binary logit model</t>
  </si>
  <si>
    <t>first waiting time (FWT);in-vehicle time (IVT);transfer time (TT);reliability of bus service (RBS);transfer dummy (TD);and normalized travel frequency (NTF)</t>
  </si>
  <si>
    <t>R²</t>
  </si>
  <si>
    <t>Wang, Ziyulong; Pel, Adam J.; Verma, Trivik; Krishnakumari, Panchamy; van Brakel, Peter; van Oort, Niels</t>
  </si>
  <si>
    <t>Transp. Res. Pt. C-Emerg. Technol.</t>
  </si>
  <si>
    <t>10.1016/j.trc.2022.103790</t>
  </si>
  <si>
    <t>P043</t>
  </si>
  <si>
    <t>Groningen, Netherlands;Drenthe, Netherlands</t>
  </si>
  <si>
    <t>Travel planning</t>
  </si>
  <si>
    <t>k-NN;Random forest;Gradient boosting</t>
  </si>
  <si>
    <t>Regression;Regression;Regression</t>
  </si>
  <si>
    <t>The passengers on-board per section per trip;The monthly average of ridership per trip;The autumn holiday;The trip requests per section per trip;The monthly average of requests per section per trip;The section-level variance of requests, compared to the request_mean per section per trip;Weekday or weekend;The section that a vehicle traverses during a trip;The direction of a trip;Morning peak or evening peak or off-peak hours;The passengers on-board of the same trip last week per section per trip;The trip requests that are sent 10 min ahead per section per trip;The section-level variance of requests that are sent 10 min ahead, compared to the request_mean per section per trip;The trip requests that are sent 15 min ahead per section per trip;The section-level variance of requests that are sent 15 min ahead, compared to the request_mean per section per trip;The trip requests that are sent 30 min ahead per section per trip;The section-level variance of requests that are sent 30 min ahead, compared to the request_mean per section per trip</t>
  </si>
  <si>
    <t>RMSE;MAE;R²</t>
  </si>
  <si>
    <t>Peng, Liqiang; Li, Qiang; Wang, Fei</t>
  </si>
  <si>
    <t>Multimedia Syst.</t>
  </si>
  <si>
    <t>10.1007/s00530-022-00967-x</t>
  </si>
  <si>
    <t>P033</t>
  </si>
  <si>
    <t>Singapore</t>
  </si>
  <si>
    <t>Ranking algorithm;Regression;Language model;Language model</t>
  </si>
  <si>
    <t>PageRank (Page and Brin 1998)</t>
  </si>
  <si>
    <t>Lee, Gyeongjae; Choo, Sangho; Choi, Sungtaek; Lee, Hyangsook</t>
  </si>
  <si>
    <t>Sustainability</t>
  </si>
  <si>
    <t>10.3390/su14127431</t>
  </si>
  <si>
    <t>P040</t>
  </si>
  <si>
    <t>2020</t>
  </si>
  <si>
    <t>Travel data;Meteorological</t>
  </si>
  <si>
    <t>Geo-conv Long Short-term Memory model</t>
  </si>
  <si>
    <t>Deep learning</t>
  </si>
  <si>
    <t>1D-CNN;LSTM</t>
  </si>
  <si>
    <t>Set of stops;Stop i;The latitude of stop i;The longitude of stop i;The number of passengers getting on the target bus at the stop i;The number of passengers getting off the target bus at the stop i;The number of passengers on board when the target bus arrives at the stop i;The number of passengers getting on buses other than the target bus at bus stop i;The number of passengers getting off buses other than the target bus at bus stop i;The speed of the link to which the stop i belongs;The number of lanes of the link to which the stop i belongs;Temperature around the stop i;Precipitation around the stop i;Identity of the vehicle;The time slot of the day (1 min: 1);The day of week</t>
  </si>
  <si>
    <t>RMSE;MAE;MAPE</t>
  </si>
  <si>
    <t>Cats, Oded; Ferranti, Francesco</t>
  </si>
  <si>
    <t>Cities</t>
  </si>
  <si>
    <t>AUG</t>
  </si>
  <si>
    <t>10.1016/j.cities.2022.103773</t>
  </si>
  <si>
    <t>P138</t>
  </si>
  <si>
    <t>Stockholm, Sweden</t>
  </si>
  <si>
    <t>Transit Feed</t>
  </si>
  <si>
    <t>k-means</t>
  </si>
  <si>
    <t>Zhao, Xia; Cui, Mengying; Levinson, David</t>
  </si>
  <si>
    <t>Env. Plan. B-Urban Anal. City Sci.</t>
  </si>
  <si>
    <t>JAN</t>
  </si>
  <si>
    <t>10.1177/23998083221089662</t>
  </si>
  <si>
    <t>P062</t>
  </si>
  <si>
    <t>2015</t>
  </si>
  <si>
    <t>Clustering;Regression;Probability model</t>
  </si>
  <si>
    <t>SSE and SSB (Kumar et al., 2018; Han et al., 2012; Zhao et al., 2019)</t>
  </si>
  <si>
    <t>F-Score;PPV;TPR;R²</t>
  </si>
  <si>
    <t>Liu, Lumei; Kong, Hui; Liu, Tianliang; Ma, Xiaolei</t>
  </si>
  <si>
    <t>MAY 1</t>
  </si>
  <si>
    <t>10.1061/JTEPBS.0000663</t>
  </si>
  <si>
    <t>P095</t>
  </si>
  <si>
    <t>Web mapping service;Social/Demographic/Economic;Social/Demographic/Economic;POI</t>
  </si>
  <si>
    <t>Activity estimation</t>
  </si>
  <si>
    <t>Binomial logit model</t>
  </si>
  <si>
    <t>housing price;population density;land-use index</t>
  </si>
  <si>
    <t>ArcGIS</t>
  </si>
  <si>
    <t>Liu, Shasha; Yamamoto, Toshiyuki; Yao, Enjian; Nakamura, Toshiyuki</t>
  </si>
  <si>
    <t>MAY</t>
  </si>
  <si>
    <t>10.1109/TITS.2020.3043021</t>
  </si>
  <si>
    <t>P064</t>
  </si>
  <si>
    <t>Shizuoka, Japan</t>
  </si>
  <si>
    <t>DBSCAN</t>
  </si>
  <si>
    <t>Levenshtein distance</t>
  </si>
  <si>
    <t>DBI</t>
  </si>
  <si>
    <t>Wang, Xueqin; Xu, Xinyue; Wu, Yuankai; Liu, Jun</t>
  </si>
  <si>
    <t>Soft Comput.</t>
  </si>
  <si>
    <t>10.1007/s00500-022-07025-8</t>
  </si>
  <si>
    <t>P012</t>
  </si>
  <si>
    <t>STGGA</t>
  </si>
  <si>
    <t>GCN;GRU</t>
  </si>
  <si>
    <t>RMSE;accuracy;R²;Friedman test;Wilcoxon signed-rank test</t>
  </si>
  <si>
    <t>TensorFlow</t>
  </si>
  <si>
    <t>Xue, Gang; Liu, Shifeng; Gong, Daqing</t>
  </si>
  <si>
    <t>10.1109/TITS.2020.3032843</t>
  </si>
  <si>
    <t>P071</t>
  </si>
  <si>
    <t>2017-2018</t>
  </si>
  <si>
    <t>k-means;Convolutional neural networks;Densely Connected Convolutional Networks</t>
  </si>
  <si>
    <t>Clustering;Deep learning;Deep learning</t>
  </si>
  <si>
    <t>IOSSS</t>
  </si>
  <si>
    <t>Silhouette score;PPV;TPR;F-Score</t>
  </si>
  <si>
    <t>Python;TensorFlow</t>
  </si>
  <si>
    <t>Chen, Wendong; Liu, Xize; Chen, Xuewu; Cheng, Long; Wang, Kailai; Chen, Jingxu</t>
  </si>
  <si>
    <t>Travel Behav. Soc.</t>
  </si>
  <si>
    <t>JUL</t>
  </si>
  <si>
    <t>10.1016/j.tbs.2022.02.005</t>
  </si>
  <si>
    <t>P065</t>
  </si>
  <si>
    <t>2016-2020</t>
  </si>
  <si>
    <t>Social/Demographic/Economic;Network</t>
  </si>
  <si>
    <t>Spatial cluster partitioning algorithm</t>
  </si>
  <si>
    <t>Cheng, Zhanhong; Trepanier, Martin; Sun, Lijun</t>
  </si>
  <si>
    <t>Transp. Sci.</t>
  </si>
  <si>
    <t>2022 FEB 16</t>
  </si>
  <si>
    <t>10.1287/trsc.2022.1128</t>
  </si>
  <si>
    <t>P109</t>
  </si>
  <si>
    <t>2017; 2019</t>
  </si>
  <si>
    <t>Guangzhou, China;Hangzhou, China</t>
  </si>
  <si>
    <t>Dynamic mode decomposition</t>
  </si>
  <si>
    <t>Dimensionality reduction</t>
  </si>
  <si>
    <t>High Order DMD</t>
  </si>
  <si>
    <t>RMSE;WMAPE;R²</t>
  </si>
  <si>
    <t>Wang, Yun; Currim, Faiz; Ram, Sudha</t>
  </si>
  <si>
    <t>Inf. Syst. Res.</t>
  </si>
  <si>
    <t>10.1287/isre.2021.1072</t>
  </si>
  <si>
    <t>P035</t>
  </si>
  <si>
    <t>2014</t>
  </si>
  <si>
    <t>Fortaleza, Brazil</t>
  </si>
  <si>
    <t>POI;Meteorological</t>
  </si>
  <si>
    <t>Deep Learning of Spatiotemporal Patterns</t>
  </si>
  <si>
    <t>CNN;LSTM;NE;FNN</t>
  </si>
  <si>
    <t>MAE;RMSE;SMAPE;Wilcoxon rank-sum test</t>
  </si>
  <si>
    <t>Shelat, Sanmay; Cats, Oded; van Oort, Niels; van Lint, J. W. C.</t>
  </si>
  <si>
    <t>Transportmetrica A</t>
  </si>
  <si>
    <t>MAR 15</t>
  </si>
  <si>
    <t>10.1080/23249935.2022.2028929</t>
  </si>
  <si>
    <t>P052</t>
  </si>
  <si>
    <t>The Hague, Netherlands</t>
  </si>
  <si>
    <t>Path planning/finding</t>
  </si>
  <si>
    <t>Multinomial logit</t>
  </si>
  <si>
    <t>log likelihood ratios</t>
  </si>
  <si>
    <t>Zhang, Xinhuan; Lauber, Les; Liu, Hongjie; Shi, Junqing; Xie, Meili; Pan, Yuran</t>
  </si>
  <si>
    <t>PLoS One</t>
  </si>
  <si>
    <t>JAN 14</t>
  </si>
  <si>
    <t>10.1371/journal.pone.0262535</t>
  </si>
  <si>
    <t>P124</t>
  </si>
  <si>
    <t>Madison, Wisconsin, United States of America</t>
  </si>
  <si>
    <t>Network</t>
  </si>
  <si>
    <t>Forecasting;Forecasting;Forecasting</t>
  </si>
  <si>
    <t>RT;DWT</t>
  </si>
  <si>
    <t>MRE;RSRE;MARE</t>
  </si>
  <si>
    <t>SQL;Matlab</t>
  </si>
  <si>
    <t>Arriagada, Jacqueline; Munizaga, Marcela A.; Angelo Guevara, C.; Prato, Carlo</t>
  </si>
  <si>
    <t>10.1016/j.trc.2021.103467</t>
  </si>
  <si>
    <t>P131</t>
  </si>
  <si>
    <t>Santiago, Chile</t>
  </si>
  <si>
    <t>Common lines analysis;Random Utility Maximization;Binary logit;Latent class analysis</t>
  </si>
  <si>
    <t>Optimization;Regression;Regression;Clustering</t>
  </si>
  <si>
    <t>PSC (Bovy et al. (2008))</t>
  </si>
  <si>
    <t>R²;t-Value</t>
  </si>
  <si>
    <t>Rodriguez Gonzalez, Ana Belen; Vinagre Diaz, Juan Jose; Wilby, Mark R.; Fernandez Pozo, Ruben</t>
  </si>
  <si>
    <t>Sensors</t>
  </si>
  <si>
    <t>10.3390/s22010017</t>
  </si>
  <si>
    <t>P034</t>
  </si>
  <si>
    <t>Madrid, Spain</t>
  </si>
  <si>
    <t>Almlof, Erik; Rubensson, Isak; Cebecauer, Matej; Jenelius, Erik</t>
  </si>
  <si>
    <t>10.1186/s12544-021-00488-0</t>
  </si>
  <si>
    <t>P142</t>
  </si>
  <si>
    <t>Social/Demographic/Economic</t>
  </si>
  <si>
    <t>Clustering;Regression</t>
  </si>
  <si>
    <t>SPSS</t>
  </si>
  <si>
    <t>Public health</t>
  </si>
  <si>
    <t>Dixit, Malvika; Cats, Oded; Brands, Ties; van Oort, Niels; Hoogendoorn, Serge</t>
  </si>
  <si>
    <t>10.1080/23249935.2021.2005180</t>
  </si>
  <si>
    <t>P102</t>
  </si>
  <si>
    <t>Amsterdam, Netherlands</t>
  </si>
  <si>
    <t>Multinomial logit model</t>
  </si>
  <si>
    <t>Ning, Jiang; Lyu, Tao; Wang, Yuanqing</t>
  </si>
  <si>
    <t>NOV 13</t>
  </si>
  <si>
    <t>10.1155/2021/9966794</t>
  </si>
  <si>
    <t>P063</t>
  </si>
  <si>
    <t>Qingdao, China</t>
  </si>
  <si>
    <t>Negative binomial regression;Fractional response</t>
  </si>
  <si>
    <t>elderly and student proportion</t>
  </si>
  <si>
    <t>VIF</t>
  </si>
  <si>
    <t>Lee, Soongbong; Lee, Jongwoo; Bae, Bumjoon; Nam, Daisik; Cheon, Seunghoon</t>
  </si>
  <si>
    <t>Appl. Sci.-Basel</t>
  </si>
  <si>
    <t>10.3390/app112110415</t>
  </si>
  <si>
    <t>P046</t>
  </si>
  <si>
    <t>South Korea</t>
  </si>
  <si>
    <t>Destination estimation</t>
  </si>
  <si>
    <t>Trip-chaining model</t>
  </si>
  <si>
    <t>Trip chaining model</t>
  </si>
  <si>
    <t>Eltved, Morten; Lemaitre, Philip; Petersen, Niklas Christoffer</t>
  </si>
  <si>
    <t>10.1016/j.trc.2021.103332</t>
  </si>
  <si>
    <t>P051</t>
  </si>
  <si>
    <t>Eastern Denmark, Denmark</t>
  </si>
  <si>
    <t>Hierarchical mixture model</t>
  </si>
  <si>
    <t>Stan (NUTS)</t>
  </si>
  <si>
    <t>Rodriguez Gonzalez, Ana Belen; Wilby, Mark R.; Vinagre Diaz, Juan Jose; Fernandez Pozo, Ruben</t>
  </si>
  <si>
    <t>10.3390/s21196574</t>
  </si>
  <si>
    <t>P026</t>
  </si>
  <si>
    <t>Fuenlabrada, Spain</t>
  </si>
  <si>
    <t>Sensor data</t>
  </si>
  <si>
    <t>Regression Trees;Gaussian Process Regressor</t>
  </si>
  <si>
    <t>MAPE</t>
  </si>
  <si>
    <t>Kapuku, Christian; Kho, Seung-Young; Kim, Dong-Kyu; Cho, Shin-Hyung</t>
  </si>
  <si>
    <t>10.1177/03611981211045071</t>
  </si>
  <si>
    <t>P018</t>
  </si>
  <si>
    <t>2016-2018</t>
  </si>
  <si>
    <t>Travel data;Network</t>
  </si>
  <si>
    <t>k-NN;Logistic regression;Support vector machine;Decision tree;Random forest;ReliefF</t>
  </si>
  <si>
    <t>Classification;Classification;Classification;Classification;Classification;Feature selection</t>
  </si>
  <si>
    <t>indicator bike-sharing travel time &lt; Bus travel time;Bus trip travel time;Bus trip boarding time;Bus trip travel speed;Bus trip travel distance;Bike user’s gender;Bike user’s age;Bus detour factor: Bike travel distance - Bus traveldistance;The difference in travel speeds between bike-sharing and bus;Bike-sharing trip travel distance;Bike-sharing trip speed;The portion of the bike lane in the route;Total travel time for bike–transit intermodal trips;Total travel time for bus–transit intermodal trips</t>
  </si>
  <si>
    <t>t-Value;Wilcoxon signed-rank test;TPR;TNR;PPV;FDR;FPR;AUC</t>
  </si>
  <si>
    <t>Berggren, Ulrik; D'Agostino, Carmelo; Svensson, Helena; Brundell-Freij, Karin</t>
  </si>
  <si>
    <t>10.1007/s11116-021-10218-z</t>
  </si>
  <si>
    <t>P089</t>
  </si>
  <si>
    <t>2016-2017</t>
  </si>
  <si>
    <t>South-West Scania, Sweden</t>
  </si>
  <si>
    <t>Fixed effects;Logistic regression</t>
  </si>
  <si>
    <t>pseudo-R²;ROC curve;R²;TPR</t>
  </si>
  <si>
    <t>SAS</t>
  </si>
  <si>
    <t>Eltved, Morten; Breyer, Nils; Ingvardson, Jesper Blafoss; Nielsen, Otto Anker</t>
  </si>
  <si>
    <t>10.1016/j.trc.2021.103198</t>
  </si>
  <si>
    <t>P074</t>
  </si>
  <si>
    <t>Greater Copenhagen area, Denmark</t>
  </si>
  <si>
    <t>k-means;Agglomerative hierarchical clustering</t>
  </si>
  <si>
    <t>Clustering;Clustering</t>
  </si>
  <si>
    <t>number of trips; start time of trip; other features describing travel behaviour; features describing daily travel activity</t>
  </si>
  <si>
    <t>Correlation coefficient</t>
  </si>
  <si>
    <t>Yun, Hyunsoo; Lee, Eun Hak; Kim, Dong-Kyu; Cho, Shin-Hyung</t>
  </si>
  <si>
    <t>10.1177/03611981211027562</t>
  </si>
  <si>
    <t>P038</t>
  </si>
  <si>
    <t>Accesibility Index;Jenks’ Natural Breaks</t>
  </si>
  <si>
    <t>Descriptive statistics;Clustering</t>
  </si>
  <si>
    <t>Accesibility Index</t>
  </si>
  <si>
    <t>Zhao, Xia; Zhang, Yong; Hu, Yongli; Wang, Shun; Li, Yunhui; Qian, Sean; Yin, Baocai</t>
  </si>
  <si>
    <t>10.1109/TITS.2020.2983853</t>
  </si>
  <si>
    <t>P088</t>
  </si>
  <si>
    <t>Travel data</t>
  </si>
  <si>
    <t>Clustering;Clustering;OD matrix</t>
  </si>
  <si>
    <t>visiting frequency to crime-prone station;spatial chaos in visiting diverse station zones;overall temporal chaos in visiting diverse stations;proportion of trips generated in rush hours over total;proportion of frequent travel weekdays over overall weekdays:proportion of the most freuqently-taken OD pair;proportion of short trips over total;anomaly extent of passenger against his neighbors;ICCM</t>
  </si>
  <si>
    <t>Variance analysis;t-Value</t>
  </si>
  <si>
    <t>Hadoop;Python;Baidu Map API;HTML5;JS</t>
  </si>
  <si>
    <t>Lei, Da; Chen, Xuewu; Cheng, Long; Zhang, Lin; Wang, Pengfei; Wang, Kailai</t>
  </si>
  <si>
    <t>10.1016/j.trc.2021.103307</t>
  </si>
  <si>
    <t>P094</t>
  </si>
  <si>
    <t>Trip chain</t>
  </si>
  <si>
    <t>trip-chaining</t>
  </si>
  <si>
    <t>Lempel–Ziv entropy estimator</t>
  </si>
  <si>
    <t>entropy;accuracy;log likelihood ratios;R²</t>
  </si>
  <si>
    <t>Singh, Ramandeep; Graham, Daniel J.; Horcher, Daniel; Anderson, Richard J.</t>
  </si>
  <si>
    <t>10.1016/j.trc.2021.103267</t>
  </si>
  <si>
    <t>P120</t>
  </si>
  <si>
    <t>Train</t>
  </si>
  <si>
    <t>2013</t>
  </si>
  <si>
    <t>Passenger to train assignment;Semiparametric regression</t>
  </si>
  <si>
    <t>Probability model;Regression</t>
  </si>
  <si>
    <t>R²;Std deviation;AIC;REML;Correlation coefficient;Correlation coefficient</t>
  </si>
  <si>
    <t>R</t>
  </si>
  <si>
    <t>Guzman, Luis A.; Beltran, Carlos; Bonilla, Jorge; Cardona, Santiago Gomez</t>
  </si>
  <si>
    <t>10.1016/j.tra.2021.06.018</t>
  </si>
  <si>
    <t>P022</t>
  </si>
  <si>
    <t>2010-1018</t>
  </si>
  <si>
    <t>Bogotá, Colombia</t>
  </si>
  <si>
    <t>Travel data;Social/Demographic/Economic;Travel data;Social/Demographic/Economic</t>
  </si>
  <si>
    <t>Panel data model;Partitioning around medoids</t>
  </si>
  <si>
    <t>Panel analysis;Clustering</t>
  </si>
  <si>
    <t>Tang, Tianli; Fonzone, Achille; Liu, Ronghui; Choudhury, Charisma</t>
  </si>
  <si>
    <t>Sust. Cities Soc.</t>
  </si>
  <si>
    <t>10.1016/j.scs.2021.103111</t>
  </si>
  <si>
    <t>P096</t>
  </si>
  <si>
    <t>Changsha, China</t>
  </si>
  <si>
    <t>Fully connected network;Recurrent neural networks;Long-short term memory neural network</t>
  </si>
  <si>
    <t>PPV;TPR;F-Score</t>
  </si>
  <si>
    <t>Hamedmoghadam, Homayoun; Vu, Hai L.; Jalili, Mahdi; Saberi, Meead; Stone, Lewi; Hoogendoorn, Serge</t>
  </si>
  <si>
    <t>10.1016/j.trc.2021.103210</t>
  </si>
  <si>
    <t>P021</t>
  </si>
  <si>
    <t>OD matrix;Random forest;Binary classification</t>
  </si>
  <si>
    <t>OD matrix;Classifictaion;Classifictaion</t>
  </si>
  <si>
    <t>ITT</t>
  </si>
  <si>
    <t>Accuracy;Performance</t>
  </si>
  <si>
    <t>Lee, Eun Hak; Kim, Kyoungtae; Kho, Seung-Young; Kim, Dong-Kyu; Cho, Shin-Hyung</t>
  </si>
  <si>
    <t>10.1177/03611981211013349</t>
  </si>
  <si>
    <t>P048</t>
  </si>
  <si>
    <t>XGBoost</t>
  </si>
  <si>
    <t>Average waiting time;Average in-vehicel time;Average crowding;Average total travel time;Number of transfers for the express train</t>
  </si>
  <si>
    <t>RMSE;Shapely values;PPV;TPR;Accuracy;F-Score</t>
  </si>
  <si>
    <t>Python</t>
  </si>
  <si>
    <t>Zhang, Tong; Duan, Xiaoqi; Li, Yicong</t>
  </si>
  <si>
    <t>10.1016/j.scs.2021.103027</t>
  </si>
  <si>
    <t>P132</t>
  </si>
  <si>
    <t>Network;POI</t>
  </si>
  <si>
    <t>Modularity</t>
  </si>
  <si>
    <t>TensorFlow;Python</t>
  </si>
  <si>
    <t>Ghasemlou, Kiarash; Ergun, Murat; Dadashzadeh, Nima</t>
  </si>
  <si>
    <t>10.3390/s21093039</t>
  </si>
  <si>
    <t>P061</t>
  </si>
  <si>
    <t>Kocaeli, Turkey</t>
  </si>
  <si>
    <t>ID-based dataset clustering;Card ID-based analysis;Route-based analysis</t>
  </si>
  <si>
    <t>Clustering;Descriptive statistics;Descriptive statistics</t>
  </si>
  <si>
    <t>Python;Excel;SQL</t>
  </si>
  <si>
    <t>10.1016/j.jtrangeo.2021.103046</t>
  </si>
  <si>
    <t>P058</t>
  </si>
  <si>
    <t>Day-to-day variability model;k-means++</t>
  </si>
  <si>
    <t>Authors algorithm;Clustering</t>
  </si>
  <si>
    <t>Entropy;average similarity</t>
  </si>
  <si>
    <t>DBI;t-Value;Std deviation</t>
  </si>
  <si>
    <t>Yap, Menno; Cats, Oded</t>
  </si>
  <si>
    <t>10.1016/j.tra.2021.02.007</t>
  </si>
  <si>
    <t>P119</t>
  </si>
  <si>
    <t>Washington, DC, United States of America</t>
  </si>
  <si>
    <t>Path size logit;Broyden-Fletcher-Goldfarb-Shanno</t>
  </si>
  <si>
    <t>Regression;Optimization</t>
  </si>
  <si>
    <t>Walking time coefficient</t>
  </si>
  <si>
    <t>Liu, Xintao; Lin, Ziwei; Huang, Jianwei; Gao, He; Shi, Wenzhong</t>
  </si>
  <si>
    <t>Int. J. Environ. Res. Public Health</t>
  </si>
  <si>
    <t>MAR</t>
  </si>
  <si>
    <t>10.3390/ijerph18052711</t>
  </si>
  <si>
    <t>P053</t>
  </si>
  <si>
    <t>Layers;Social/Demographic/Economic</t>
  </si>
  <si>
    <t>Gravity-based model;Spatial Durbin Model</t>
  </si>
  <si>
    <t>Gravity-based model;Regression</t>
  </si>
  <si>
    <t>Moran's I;R²</t>
  </si>
  <si>
    <t>Dixit, Malvika; Chowdhury, Subeh; Cats, Oded; Brands, Ties; van Oort, Niels; Hoogendoorn, Serge</t>
  </si>
  <si>
    <t>10.1016/j.jtrangeo.2021.102980</t>
  </si>
  <si>
    <t>P056</t>
  </si>
  <si>
    <t>Regression;Optimization;Regression</t>
  </si>
  <si>
    <t>Transit circuity</t>
  </si>
  <si>
    <t>log likelihood ratios;AIC;Moran's I;Gini coefficient</t>
  </si>
  <si>
    <t>Zhang, Nan; Jia, Wei; Wang, Peihua; Dung, Chung-Hin; Zhao, Pengcheng; Leung, Kathy; Su, Boni; Cheng, Reynold; Li, Yuguo</t>
  </si>
  <si>
    <t>10.1016/j.cities.2021.103139</t>
  </si>
  <si>
    <t>P025</t>
  </si>
  <si>
    <t>Hong Kong, China</t>
  </si>
  <si>
    <t>Social/Demographic/Economic;COVID-19;COVID-19;Population mobility;Regulation;Network;Travel data</t>
  </si>
  <si>
    <t>Descriptive statistics</t>
  </si>
  <si>
    <t>Wang, Siqin; Liu, Yan; Corcoran, Jonathan</t>
  </si>
  <si>
    <t>10.1016/j.tra.2020.12.010</t>
  </si>
  <si>
    <t>P045</t>
  </si>
  <si>
    <t>South East Queensland, Australia</t>
  </si>
  <si>
    <t>Economical model;Economical model;Descriptive statistics</t>
  </si>
  <si>
    <t>Hosoe, Mio; Kuwano, Masashi; Moriyama, Taku</t>
  </si>
  <si>
    <t>J. Big Data</t>
  </si>
  <si>
    <t>JAN 7</t>
  </si>
  <si>
    <t>10.1186/s40537-020-00402-w</t>
  </si>
  <si>
    <t>P004</t>
  </si>
  <si>
    <t>2013-2015</t>
  </si>
  <si>
    <t>Kagawa Prefecture, Japan</t>
  </si>
  <si>
    <t>Data polishing</t>
  </si>
  <si>
    <t>Uno et al. 2016</t>
  </si>
  <si>
    <t>Thresholds</t>
  </si>
  <si>
    <t>Benavente, Juan; Alonso, Borja; Rodriguez, Andres; Luis Moura, Jose</t>
  </si>
  <si>
    <t>IEEE Access</t>
  </si>
  <si>
    <t>10.1109/ACCESS.2021.3107833</t>
  </si>
  <si>
    <t>P086</t>
  </si>
  <si>
    <t>Santander, Spain</t>
  </si>
  <si>
    <t>MAE;accuracy</t>
  </si>
  <si>
    <t>SQL;Python;Bokeh</t>
  </si>
  <si>
    <t>Lemaitre, Philip; Andersen, Michael Riis; Frellsen, Jes</t>
  </si>
  <si>
    <t>IEEE Open J. Intell. Transp. Syst.</t>
  </si>
  <si>
    <t>10.1109/OJITS.2021.3094620</t>
  </si>
  <si>
    <t>P140</t>
  </si>
  <si>
    <t>Denmark</t>
  </si>
  <si>
    <t>Bayesian model</t>
  </si>
  <si>
    <t>Probability model</t>
  </si>
  <si>
    <t>Dirichlet distribution;SGT</t>
  </si>
  <si>
    <t>RMSE</t>
  </si>
  <si>
    <t>Zhang, Shanqi; Yang, Yu; Zhen, Feng; Lobsang, Tashi; Li, Zhixuan</t>
  </si>
  <si>
    <t>10.1016/j.jtrangeo.2020.102938</t>
  </si>
  <si>
    <t>P128</t>
  </si>
  <si>
    <t>Wuhu, China</t>
  </si>
  <si>
    <t>standard deviational ellipse (SDE);Cumulative distributive function (CDF)</t>
  </si>
  <si>
    <t>Kolmogorov-Smirnov test statistic;Std deviation</t>
  </si>
  <si>
    <t>Lin, Pengfei; Weng, Jiancheng; Brands, Devi K.; Qian, Huimin; Yin, Baocai</t>
  </si>
  <si>
    <t>IET Intell. Transp. Syst.</t>
  </si>
  <si>
    <t>DEC 27</t>
  </si>
  <si>
    <t>10.1049/iet-its.2020.0469</t>
  </si>
  <si>
    <t>P013</t>
  </si>
  <si>
    <t>Meteorological;POI;Network;Land use;Layers</t>
  </si>
  <si>
    <t>LightGBM</t>
  </si>
  <si>
    <t>average temperature;relative humidity;average wind speed;rainfall;AQI;snowfall;month;weekend/public holiday;residence;office;distance from CBD;education;commercial;hospital;bus;land use mix;subway;scenic spot;transport hub</t>
  </si>
  <si>
    <t>R²;MAE;RMSE;Running time</t>
  </si>
  <si>
    <t>Brands, Ties; Dixit, Malvika; van Oort, Niels</t>
  </si>
  <si>
    <t>Eur. J. Transport. Infrastruct. Res.</t>
  </si>
  <si>
    <t>DEC 21</t>
  </si>
  <si>
    <t>10.18757/ejtir.2020.20.4.4084</t>
  </si>
  <si>
    <t>P073</t>
  </si>
  <si>
    <t>Agglomerative hierarchical clustering</t>
  </si>
  <si>
    <t>Jain et al., 1999</t>
  </si>
  <si>
    <t>number of travellers; travel time; transfer time; number of transfers; travel time reliability</t>
  </si>
  <si>
    <t>Std deviation</t>
  </si>
  <si>
    <t>Liu, Yunzhe; Cheng, Tao</t>
  </si>
  <si>
    <t>DEC 20</t>
  </si>
  <si>
    <t>10.1080/23249935.2018.1493549</t>
  </si>
  <si>
    <t>P127</t>
  </si>
  <si>
    <t>LDA;London Output Area Clasification</t>
  </si>
  <si>
    <t>Language model;Classification</t>
  </si>
  <si>
    <t>PP</t>
  </si>
  <si>
    <t>Wang, Wenjing; Wang, Yihong; Correia, Goncalo Homem de Almeida; Chen, Yusen</t>
  </si>
  <si>
    <t>DEC 7</t>
  </si>
  <si>
    <t>10.1155/2020/6659931</t>
  </si>
  <si>
    <t>P006</t>
  </si>
  <si>
    <t>Transfer flow, transfer accesability, transfer time, bus stops per metro station, bus lines per bus stop</t>
  </si>
  <si>
    <t>R²;F-Score</t>
  </si>
  <si>
    <t>Huang, Ailing; Dou, Ziqi; Qi, Liuzi; Wang, Lewen</t>
  </si>
  <si>
    <t>DEC 1</t>
  </si>
  <si>
    <t>10.1061/JTEPBS.0000448</t>
  </si>
  <si>
    <t>P067</t>
  </si>
  <si>
    <t>Dynamic Genetic Algorithm</t>
  </si>
  <si>
    <t>Genetic algorithms</t>
  </si>
  <si>
    <t>Zhu, Wei; Fan, Wei-li; Wahaballa, Amr M.; Wei, Jin</t>
  </si>
  <si>
    <t>10.1007/s11116-019-10040-8</t>
  </si>
  <si>
    <t>P024</t>
  </si>
  <si>
    <t>Local outlier factor;Rodriguez–Laio 2014</t>
  </si>
  <si>
    <t>Anomaly detection;Clustering</t>
  </si>
  <si>
    <t>OD absolute threshold;OD relative threshold;fastest travel time;slowest travel time</t>
  </si>
  <si>
    <t>Agarwal, Sumit; Diao, Mi; Keppo, Jussi; Sing, Tien Foo</t>
  </si>
  <si>
    <t>J. Urban Econ.</t>
  </si>
  <si>
    <t>10.1016/j.jue.2020.103288</t>
  </si>
  <si>
    <t>P103</t>
  </si>
  <si>
    <t>Ordinary least squares regresssion</t>
  </si>
  <si>
    <t>VOT;VOR;Elasticity of the bus mode share</t>
  </si>
  <si>
    <t>Std deviation;R²</t>
  </si>
  <si>
    <t>Lei, Da; Chen, Xuewu; Cheng, Long; Zhang, Lin; Ukkusuri, Satish, V; Witlox, Frank</t>
  </si>
  <si>
    <t>10.1016/j.trc.2020.102810</t>
  </si>
  <si>
    <t>P084</t>
  </si>
  <si>
    <t>Layers;Land use;Network</t>
  </si>
  <si>
    <t>temporal motif enumeration algorithm</t>
  </si>
  <si>
    <t>Graph model</t>
  </si>
  <si>
    <t>Paranjape et al. 2017</t>
  </si>
  <si>
    <t>Gutierrez, Aaron; Domenech, Antoni; Zaragozi, Benito; Miravet, Daniel</t>
  </si>
  <si>
    <t>10.1016/j.jtrangeo.2020.102820</t>
  </si>
  <si>
    <t>P104</t>
  </si>
  <si>
    <t>Camp de Tarragona, Spain</t>
  </si>
  <si>
    <t>Latent profile analysis clustering</t>
  </si>
  <si>
    <t>BLTR value</t>
  </si>
  <si>
    <t>AIC;BIC;log likelihood ratios</t>
  </si>
  <si>
    <t>Turism</t>
  </si>
  <si>
    <t>Zhang, Yang; Aslam, Nilufer Sari; Lai, Juntao; Cheng, Tao</t>
  </si>
  <si>
    <t>Comput. Environ. Urban Syst.</t>
  </si>
  <si>
    <t>10.1016/j.compenvurbsys.2020.101517</t>
  </si>
  <si>
    <t>P143</t>
  </si>
  <si>
    <t>Survey</t>
  </si>
  <si>
    <t>Classification;Classification;Deep learning;Classification</t>
  </si>
  <si>
    <t>Correlation coefficient;Accuracy</t>
  </si>
  <si>
    <t>Tang, Liyang; Zhao, Yang; Tsui, Kwok Leung; He, Yuxin; Pan, Liwei</t>
  </si>
  <si>
    <t>10.3390/app10165606</t>
  </si>
  <si>
    <t>P002</t>
  </si>
  <si>
    <t>Regulation;POI;Social/Demographic/Economic</t>
  </si>
  <si>
    <t>k-means;ProClus;HDDC;Cluster refinement framework with Cluster Member Based Stability;PCA</t>
  </si>
  <si>
    <t>Clustering;Clustering;Clustering;Clustering;Dimensionality reduction</t>
  </si>
  <si>
    <t>SFD</t>
  </si>
  <si>
    <t>Moran's I;Lagrange multiplier test</t>
  </si>
  <si>
    <t>Hung, Pai-Hsien; Doi, Kenji; Inoi, Hiroto</t>
  </si>
  <si>
    <t>IATSS Res.</t>
  </si>
  <si>
    <t>10.1016/j.iatssr.2019.09.001</t>
  </si>
  <si>
    <t>P135</t>
  </si>
  <si>
    <t>Tainan, Taiwan</t>
  </si>
  <si>
    <t>ORBRU</t>
  </si>
  <si>
    <t>pseudo-R²</t>
  </si>
  <si>
    <t>Kim, Kyoungok</t>
  </si>
  <si>
    <t>JUL 1</t>
  </si>
  <si>
    <t>10.1061/JTEPBS.0000371</t>
  </si>
  <si>
    <t>P044</t>
  </si>
  <si>
    <t>Transit Feed;Meteorological;Social/Demographic/Economic;Land use</t>
  </si>
  <si>
    <t>Generalized linear model</t>
  </si>
  <si>
    <t>Travel distance between origin and destination (km);Travel time between origin and destination (min);Time divided by Dist;Number of transfers;Number of transfers divided by Dist;Number of routes provided by online map service;Walking distance to move between different bus stations for transfer;Transfer distance divided by Dist;seboth variables divided byand Res = residence.;Subway distance−bus distance;(Subway distance−bus distance)/(bus distance);Subway time−bus time;(Subway time−bus time)/(bus distance);Subway transfer−bus transfer;(Subway transfer−bus transfer)/(bus distance);Subway transfer distance−bus transfer distance;(Subway transfer distance−bus transfer distance)/(bus distance);Subway fare−bus fare;Indicator variable for temperature &lt;0 °C;Indicator variable for 0°C ≤ temperature &lt;10°C;Indicator variable for 10°C ≤ temperature &lt;20°C;Indicator variable for 20°C ≤ temperature &lt;25°C;Indicator variable for temperature ≥ 25°C;Relative humidity;Precipitation (mm);Frequency of hours with rain for a day;Wind speed (m=s);Temperature humidity index;Snowfall (cm);Indicator variable for weekends;Indicator variable for public holidays during weekdays;Indicator variable for weekends or public holidays during weekdays;Indicator variables for consecutive holidays more than 3 days;Indicator variable for (OD) = (Res, Res);Indicator variable for both (Res, Biz) and (Biz, Res) in case of undirected OD pairs or (Biz, Res) in case of directed OD pairs;Indicator variable for (Res, Biz);Indicator variable for (Biz, Biz)</t>
  </si>
  <si>
    <t>pseudo-R²;R²;MSE</t>
  </si>
  <si>
    <t>Zhao, Zhan; Koutsopoulos, Haris N.; Zhao, Jinhua</t>
  </si>
  <si>
    <t>10.1016/j.trc.2020.102627</t>
  </si>
  <si>
    <t>P039</t>
  </si>
  <si>
    <t>LDA</t>
  </si>
  <si>
    <t>Language model</t>
  </si>
  <si>
    <t>log likelihood ratios;PP</t>
  </si>
  <si>
    <t>Python;Cython</t>
  </si>
  <si>
    <t>Zhang, Tong; Li, Yicong; Yang, Hui; Cui, Chenrong; Li, Jing; Qiao, Qinghua</t>
  </si>
  <si>
    <t>Int. J. Geogr. Inf. Sci.</t>
  </si>
  <si>
    <t>JUN 2</t>
  </si>
  <si>
    <t>10.1080/13658816.2018.1554812</t>
  </si>
  <si>
    <t>P072</t>
  </si>
  <si>
    <t>Transit Feed;Network</t>
  </si>
  <si>
    <t>PageRank;Clauset–Newman–Moore;Combo;Normalized Mutual Information</t>
  </si>
  <si>
    <t>Ranking algorithm;Graph model;Graph model;Graph model</t>
  </si>
  <si>
    <t>Transit flow;Accumulated transit flow;transit flow density;shared (accumulated) transit flow</t>
  </si>
  <si>
    <t>Zhao, Pengjun; Cao, Yushu</t>
  </si>
  <si>
    <t>Transp. Policy</t>
  </si>
  <si>
    <t>10.1016/j.tranpol.2020.03.006</t>
  </si>
  <si>
    <t>P030</t>
  </si>
  <si>
    <t>Shanghai, China</t>
  </si>
  <si>
    <t>Regression;Regression;Clustering</t>
  </si>
  <si>
    <t>Long and Thill 2015, Alexander et al. 2015</t>
  </si>
  <si>
    <t>VIF;Moran's I;R²;AIC;Correlation coefficient;t-Value;AIC</t>
  </si>
  <si>
    <t>SQL</t>
  </si>
  <si>
    <t>Ji, Yanjie; Ma, Xinwei; He, Mingjia; Jin, Yuchuan; Yuan, Yufei</t>
  </si>
  <si>
    <t>J. Clean Prod.</t>
  </si>
  <si>
    <t>MAY 10</t>
  </si>
  <si>
    <t>10.1016/j.jclepro.2020.120110</t>
  </si>
  <si>
    <t>P032</t>
  </si>
  <si>
    <t>Ortegatong et al. 2013;Binary logistic model</t>
  </si>
  <si>
    <t>Classification;Regression</t>
  </si>
  <si>
    <t>User type;Riding distance;Riding time;Trips during morning peak hours;Trips during afternoon peak hours;Trips during off-peak hours;Trips on workdays;Trips on weekends;Working POI;Residential POI;Transit POI;Entertainment POI;Other POIs;Distance to CBD</t>
  </si>
  <si>
    <t>VIF;pseudo-R²</t>
  </si>
  <si>
    <t>Arbex, Renato; Cunha, Claudio B.</t>
  </si>
  <si>
    <t>10.1016/j.jtrangeo.2020.102671</t>
  </si>
  <si>
    <t>P049</t>
  </si>
  <si>
    <t>São Paulo, Brazil</t>
  </si>
  <si>
    <t>Network;Travel data;Travel data;Social/Demographic/Economic;Social/Demographic/Economic</t>
  </si>
  <si>
    <t>Accesibility index;load factor;passenger density;travel time</t>
  </si>
  <si>
    <t>Gan, Zuoxian; Yang, Min; Feng, Tao; Timmermans, Harry J. P.</t>
  </si>
  <si>
    <t>Transport. Res. Part D-Transport. Environ.</t>
  </si>
  <si>
    <t>10.1016/j.trd.2020.102332</t>
  </si>
  <si>
    <t>P059</t>
  </si>
  <si>
    <t>Land use;Social/Demographic/Economic;Web mapping service;Web mapping service;Social/Demographic/Economic</t>
  </si>
  <si>
    <t>Time series analysis;Regression;Regression</t>
  </si>
  <si>
    <t>Wang, Liu; Zhang, Yong; Zhao, Xia; Liu, Hao; Zhang, Ke</t>
  </si>
  <si>
    <t>10.1109/TITS.2019.2933497</t>
  </si>
  <si>
    <t>P091</t>
  </si>
  <si>
    <t>Network;Social network</t>
  </si>
  <si>
    <t>Assemi, Behrang; Alsger, Azalden; Moghaddam, Mahboobeh; Hickman, Mark; Mesbah, Mahmoud</t>
  </si>
  <si>
    <t>10.1007/s12469-019-00218-9</t>
  </si>
  <si>
    <t>P076</t>
  </si>
  <si>
    <t>Layers;Layers</t>
  </si>
  <si>
    <t>Neural networks;Deep learning</t>
  </si>
  <si>
    <t>Nassir et al., 2011</t>
  </si>
  <si>
    <t>date; run; route; direction; smartcard ID; boarding time; alighting time; boarding stop; alighting stop</t>
  </si>
  <si>
    <t>t-Value;R²</t>
  </si>
  <si>
    <t>Gu, Yanyan; Wang, Yandong; Dong, Shihai</t>
  </si>
  <si>
    <t>ISPRS Int. Geo-Inf.</t>
  </si>
  <si>
    <t>10.3390/ijgi9030152</t>
  </si>
  <si>
    <t>P105</t>
  </si>
  <si>
    <t>Zhongshan, China</t>
  </si>
  <si>
    <t>Network;Layers</t>
  </si>
  <si>
    <t>Clustering;Genetic algorithm</t>
  </si>
  <si>
    <t>Topographic error;Quantization error;R²</t>
  </si>
  <si>
    <t>Gan, Zuoxian; Yang, Min; Feng, Tao; Timmermans, Harry</t>
  </si>
  <si>
    <t>10.1007/s11116-018-9885-4</t>
  </si>
  <si>
    <t>P129</t>
  </si>
  <si>
    <t>log likelihood ratios;R²;XB index;DBI;DI</t>
  </si>
  <si>
    <t>Tang, Tianli; Liu, Ronghui; Choudhury, Charisma</t>
  </si>
  <si>
    <t>10.1016/j.scs.2019.101927</t>
  </si>
  <si>
    <t>P078</t>
  </si>
  <si>
    <t>Meteorological</t>
  </si>
  <si>
    <t>Multi-class gradient boosting decision tree</t>
  </si>
  <si>
    <t>Month;Day;Hour;Days of week;Holiday;Boarding stop ID;Boarding line;Number of trips on the previous day;Number of trips on the same day of the last week;Number of trips in the same hour on the same day of the last week;temperature;PRecipitation;Humidity;Visibility;Wind speed;Weather events</t>
  </si>
  <si>
    <t>PPV;TPR;F-Score;GEH</t>
  </si>
  <si>
    <t>Yu, Wei; Ye, Xiaofei; Chen, Jun; Yan, Xingchen; Wang, Tao</t>
  </si>
  <si>
    <t>10.3390/su12031113</t>
  </si>
  <si>
    <t>P054</t>
  </si>
  <si>
    <t>use time probability;passenger flow between stations; average time between stations; and time variance between stations;Space P Model and Minimum Number of Rides;Ride Time Model and Shortest Ride Time;Flow Efficiency between Stations;Network Flow Efficiency</t>
  </si>
  <si>
    <t>Matlab;UCINET</t>
  </si>
  <si>
    <t>Zhang, Yang; Cheng, Tao</t>
  </si>
  <si>
    <t>10.1109/TITS.2019.2896460</t>
  </si>
  <si>
    <t>P003</t>
  </si>
  <si>
    <t>Thresholding Multi-Channel Convolutional Neural Network</t>
  </si>
  <si>
    <t>Pavlyuk, Dmitry; Spiridovska, Nadezda; Yatskiv (Jackiva), Irina</t>
  </si>
  <si>
    <t>Transport</t>
  </si>
  <si>
    <t>10.3846/transport.2020.14159</t>
  </si>
  <si>
    <t>P117</t>
  </si>
  <si>
    <t>Riga, Latvia</t>
  </si>
  <si>
    <t>Boarding stop estimation;Mobility pattern estimation: Clustering: k-means and hierarchical agglomerative</t>
  </si>
  <si>
    <t>Singh, Ramandeep; Graham, Daniel J.; Anderson, Richard J.</t>
  </si>
  <si>
    <t>Data-Centric Eng.</t>
  </si>
  <si>
    <t>10.1017/dce.2020.15</t>
  </si>
  <si>
    <t>P107</t>
  </si>
  <si>
    <t>generalised additive mixed model</t>
  </si>
  <si>
    <t>R²;D explained;AIC;BIC;REML</t>
  </si>
  <si>
    <t>Lee, Hasik; Park, Ho-Chul; Kho, Seung-Young; Kim, Dong-Kyu</t>
  </si>
  <si>
    <t>10.1016/j.jtrangeo.2019.102546</t>
  </si>
  <si>
    <t>P020</t>
  </si>
  <si>
    <t>Social/Demographic/Economic;Land use;Transit Feed</t>
  </si>
  <si>
    <t>Transit competitiveness index</t>
  </si>
  <si>
    <t>Qiu, Guo; Song, Rui; He, Shiwei; Xu, Wangtu; Jiang, Min</t>
  </si>
  <si>
    <t>10.1109/TITS.2018.2875466</t>
  </si>
  <si>
    <t>P027</t>
  </si>
  <si>
    <t>Clustering;Clustering;Clustering;Clustering</t>
  </si>
  <si>
    <t>CP;SP;DBI;DI;ARI;AMI</t>
  </si>
  <si>
    <t>Wang, Haiyang; Li, Longyuan; Pan, Pingjun; Wang, Yongkun; Jin, Yaohui</t>
  </si>
  <si>
    <t>10.1016/j.trc.2019.05.022</t>
  </si>
  <si>
    <t>P042</t>
  </si>
  <si>
    <t>Shangai, China</t>
  </si>
  <si>
    <t>Events</t>
  </si>
  <si>
    <t>Early Warning Framework</t>
  </si>
  <si>
    <t>Time series analysis</t>
  </si>
  <si>
    <t>ESWD (Zhu and Shasha 2003); multivariate regression;SARIMA-NLC</t>
  </si>
  <si>
    <t>PPV;TPR;F-Score;MAE;RMSE</t>
  </si>
  <si>
    <t>Apache Spark;Python</t>
  </si>
  <si>
    <t>Kandt, Jens; Leak, Alistair</t>
  </si>
  <si>
    <t>10.1016/j.jtrangeo.2019.102474</t>
  </si>
  <si>
    <t>P057</t>
  </si>
  <si>
    <t>2010-2016</t>
  </si>
  <si>
    <t>Error correction model;Clustering;Regression</t>
  </si>
  <si>
    <t>DIC;Moran's I</t>
  </si>
  <si>
    <t>Liu, Yongxin; Li, Jianqiang; Ming, Zhong; Song, Houbing; Weng, Xiaoxiong; Wang, Jian</t>
  </si>
  <si>
    <t>J. Netw. Comput. Appl.</t>
  </si>
  <si>
    <t>MAY 15</t>
  </si>
  <si>
    <t>10.1016/j.jnca.2019.02.016</t>
  </si>
  <si>
    <t>P041</t>
  </si>
  <si>
    <t>Zhuhai, China</t>
  </si>
  <si>
    <t>Transit Feed;Network;POI</t>
  </si>
  <si>
    <t>Time discrepancy identification algorithm</t>
  </si>
  <si>
    <t>Algoritmo propio</t>
  </si>
  <si>
    <t>BS;SoC</t>
  </si>
  <si>
    <t>C++;Qt;Echarts;Node.js</t>
  </si>
  <si>
    <t>Siripanich, Amarin; Rashidi, Taha Hossein; Moylan, Emily</t>
  </si>
  <si>
    <t>10.3390/su11092709</t>
  </si>
  <si>
    <t>P087</t>
  </si>
  <si>
    <t>Brisbane, Australia</t>
  </si>
  <si>
    <t>Social/Demographic/Economic;Social/Demographic/Economic;Social/Demographic/Economic</t>
  </si>
  <si>
    <t>Ordinary least squares;Spatial lag;Spatial Error;GWR</t>
  </si>
  <si>
    <t>Regression;Regression;Regression;Regression</t>
  </si>
  <si>
    <t>Price of the property;Number of bedrooms;Number of bathrooms;Number of car spaces;Property’s type (house = 0, unit = 1);Percentage of people with weekly income greater than $1500;Percentage of people aged greater than 65;Population density in the statistical area (1000 persons);Percentage of household residential location changed since last year;Percentage of unemployed persons;Number of trips originated during the morning peak hours (1000s of trips);Number of trips originated during the evening peak hours (1000s of trips);Proportion of transfer trips of all originated trips;Average travel time variability (min);Travel time delay during the morning peak hours (min);Trips to CBD (1000s of trips);The number of bus stops within 400 m of the property;The property is located within 400 m within to a rail station (yes = 1, no = 0);The property is located within 800 m to a ferry station (yes = 1, no = 0);Jobs accessible within a 30-min journey by public transit services (1000s of jobs);Network distance from the statistical zone where the property is located to the CBD (km)</t>
  </si>
  <si>
    <t>Lagrange multiplier test;BP;Moran's I;VIF;AIC;R²;t-Value</t>
  </si>
  <si>
    <t>Tanko, Michael; Burke, Matthew I.; Yen, Barbara</t>
  </si>
  <si>
    <t>Transp. Plan. Technol.</t>
  </si>
  <si>
    <t>APR 3</t>
  </si>
  <si>
    <t>10.1080/03081060.2019.1576382</t>
  </si>
  <si>
    <t>P139</t>
  </si>
  <si>
    <t>Pearson correlation;Spearman's rho mode</t>
  </si>
  <si>
    <t>Liu, Xiaodong; Zhou, Yuan; Rau, Andreas</t>
  </si>
  <si>
    <t>10.1016/j.jtrangeo.2018.02.004</t>
  </si>
  <si>
    <t>P113</t>
  </si>
  <si>
    <t>Rahbar, Mohadeseh; Hickman, Mark; Mesbah, Mahmoud; Tavassoli, Ahmad</t>
  </si>
  <si>
    <t>10.1109/TITS.2018.2852726</t>
  </si>
  <si>
    <t>P023</t>
  </si>
  <si>
    <t>Transit Feed;Meteorological;Network</t>
  </si>
  <si>
    <t>Bayesian Hierarchical;Markov chain Monte Carlo;Multinomial Logit</t>
  </si>
  <si>
    <t>Probability model;Probability model;Regression</t>
  </si>
  <si>
    <t>BIC;RMSE</t>
  </si>
  <si>
    <t>R;JAGS</t>
  </si>
  <si>
    <t>Du, Bowen; Liu, Chuanren; Zhou, Wenjun; Hou, Zhenshan; Xiong, Hui</t>
  </si>
  <si>
    <t>IEEE Trans. Knowl. Data Eng.</t>
  </si>
  <si>
    <t>MAR 1</t>
  </si>
  <si>
    <t>10.1109/TKDE.2018.2834909</t>
  </si>
  <si>
    <t>P037</t>
  </si>
  <si>
    <t>POI;Network Status Updates</t>
  </si>
  <si>
    <t>Suspect identification models;DBSCAN</t>
  </si>
  <si>
    <t>Travel Time;Frequency;Short-Distance Rides;Transitions among Functional Zones;Frequently Visited Regions;Deviation from the Social Norm;Historical Behaviours</t>
  </si>
  <si>
    <t>Du, Bowen; Zhou, Wenjun; Liu, Chuanren; Cui, Yifeng; Xiong, Hui</t>
  </si>
  <si>
    <t>INFORMS J. Comput.</t>
  </si>
  <si>
    <t>10.1287/ijoc.2018.0824</t>
  </si>
  <si>
    <t>P123</t>
  </si>
  <si>
    <t>2012; 2014</t>
  </si>
  <si>
    <t>Transit tensor factorization</t>
  </si>
  <si>
    <t>Similarity</t>
  </si>
  <si>
    <t>Dixit, Malvika; Brands, Ties; van Oort, Niels; Cats, Oded; Hoogendoorn, Serge</t>
  </si>
  <si>
    <t>10.1177/0361198118825459</t>
  </si>
  <si>
    <t>P101</t>
  </si>
  <si>
    <t>Reliability Buffer Time</t>
  </si>
  <si>
    <t>Maeda, Takashi Nicholas; Shiode, Narushige; Zhong, Chen; Mori, Junichiro; Sakimoto, Tetsuo</t>
  </si>
  <si>
    <t>10.1186/s40537-019-0168-5</t>
  </si>
  <si>
    <t>P036</t>
  </si>
  <si>
    <t>Kansai Area, Japan</t>
  </si>
  <si>
    <t>Extraction of Activity Types and Change Detection;Non-negative matrix factorization;Jensen-Shannon divergence</t>
  </si>
  <si>
    <t>Authors algorithm;Dimensionality reduction;Probability model</t>
  </si>
  <si>
    <t>Fan et al. 2014</t>
  </si>
  <si>
    <t>Lee, Junhyung; Lee, Jaekang</t>
  </si>
  <si>
    <t>Sens. Mater.</t>
  </si>
  <si>
    <t>10.18494/SAM.2019.2589</t>
  </si>
  <si>
    <t>P115</t>
  </si>
  <si>
    <t>Clustering;Regression;Regression</t>
  </si>
  <si>
    <t>R²;Moran's I</t>
  </si>
  <si>
    <t>Splunk</t>
  </si>
  <si>
    <t>Yap, Menno; Luo, Ding; Cats, Oded; van Oort, Niels; Hoogendoorn, Serge</t>
  </si>
  <si>
    <t>10.1016/j.trc.2018.12.013</t>
  </si>
  <si>
    <t>P141</t>
  </si>
  <si>
    <t>DBSCAN;Modularity-based community detection algorithm</t>
  </si>
  <si>
    <t>HHI</t>
  </si>
  <si>
    <t>Yu, Wei; Bai, Hua; Chen, Jun; Yan, Xingchen</t>
  </si>
  <si>
    <t>10.1109/ACCESS.2019.2943598</t>
  </si>
  <si>
    <t>P017</t>
  </si>
  <si>
    <t>Anomaly detection</t>
  </si>
  <si>
    <t>OD analysis</t>
  </si>
  <si>
    <t>Inbound if next day;negative time taken;over 300 minutes;In and out same sattion in 0-3 minutes;In  and out same station in 4-300 minutes;In and out same sation;swiping card over 8 times</t>
  </si>
  <si>
    <t>Noursalehi, Peyman; Koutsopoulos, Haris N.; Zhao, Jinhua</t>
  </si>
  <si>
    <t>10.1016/j.trc.2018.10.023</t>
  </si>
  <si>
    <t>P108</t>
  </si>
  <si>
    <t>2012-2013</t>
  </si>
  <si>
    <t>Dynamic factor model</t>
  </si>
  <si>
    <t>MAE;MAPE</t>
  </si>
  <si>
    <t>Du, Bowen; Cui, Yifeng; Fu, Yanjie; Zhong, Runxing; Xiong, Hui</t>
  </si>
  <si>
    <t>ACM Trans. Intell. Syst. Technol.</t>
  </si>
  <si>
    <t>10.1145/3232229</t>
  </si>
  <si>
    <t>P114</t>
  </si>
  <si>
    <t>Social/Demographic/Economic;Events;Network;POI;Layers</t>
  </si>
  <si>
    <t>Multi-task transfer passenger flow prediction</t>
  </si>
  <si>
    <t>Transfer volume;Transfer distance and time;Accessibility;Reachability;Connectivity;Functional zones;Event and weather;Temporal-related</t>
  </si>
  <si>
    <t>RMSE;MAE</t>
  </si>
  <si>
    <t>Gao, Qi-Li; Li, Qing-Quan; Yue, Yang; Zhuang, Yan; Chen, Zhi-Peng; Kong, Hui</t>
  </si>
  <si>
    <t>10.1016/j.compenvurbsys.2018.02.006</t>
  </si>
  <si>
    <t>P060</t>
  </si>
  <si>
    <t>Jenks’ Natural Breaks</t>
  </si>
  <si>
    <t>NFR;inflow;outflow</t>
  </si>
  <si>
    <t>Yen, Barbara T. H.; Mulley, Corinne; Tseng, Wen-Chun; Chiou, Yu-Chiun</t>
  </si>
  <si>
    <t>Case Stud. Transp. Policy</t>
  </si>
  <si>
    <t>10.1016/j.cstp.2018.01.005</t>
  </si>
  <si>
    <t>P019</t>
  </si>
  <si>
    <t>Social/Demographic/Economic;Layers</t>
  </si>
  <si>
    <t>Latent class nested logit</t>
  </si>
  <si>
    <t>Travel time;Travel cost;Travel zone;9 journey trip;Peak hour trip;Weekday trip;Commuter trip;Feeder bus stop density_ Heavy rail;Population density;Age (&gt;65 years old);Students (&gt;four years old);Employment;Public transport as main travel mode;Car number (more than two);High income (&gt;1500/pw)</t>
  </si>
  <si>
    <t>BIC;AIC;log likelihood ratios;number of parameters</t>
  </si>
  <si>
    <t>Tonnelier, E.; Baskiotis, N.; Guigue, V.; Gallinari, P.</t>
  </si>
  <si>
    <t>Neurocomputing</t>
  </si>
  <si>
    <t>JUL 12</t>
  </si>
  <si>
    <t>10.1016/j.neucom.2017.12.067</t>
  </si>
  <si>
    <t>P016</t>
  </si>
  <si>
    <t>Paris, France</t>
  </si>
  <si>
    <t>Network Status Updates</t>
  </si>
  <si>
    <t>Anomaly detection;Non-negative matrix factorization;Continuous user-based model</t>
  </si>
  <si>
    <t>Anomaly detection;Dimensionality reduction;Anomaly detection</t>
  </si>
  <si>
    <t>Std deviation;ROC curve;Accuracy;PPV</t>
  </si>
  <si>
    <t>Ingvardson, Jesper Blafoss; Nielsen, Otto Anker; Raveau, Sebastian; Nielsen, Bo Friis</t>
  </si>
  <si>
    <t>10.1016/j.trc.2018.03.006</t>
  </si>
  <si>
    <t>P098</t>
  </si>
  <si>
    <t>Copenhagen, Denmark</t>
  </si>
  <si>
    <t>mixture distribution</t>
  </si>
  <si>
    <t>Luethi et al. (2007).</t>
  </si>
  <si>
    <t>Kolmogorov-Smirnov test statistic;AIC</t>
  </si>
  <si>
    <t>Manley, Ed; Zhong, Chen; Batty, Michael</t>
  </si>
  <si>
    <t>10.1007/s11116-016-9747-x</t>
  </si>
  <si>
    <t>P118</t>
  </si>
  <si>
    <t>2012</t>
  </si>
  <si>
    <t>Tu, Wei; Cao, Rui; Yue, Yang; Zhou, Baoding; Li, Qiuping; Li, Qingquan</t>
  </si>
  <si>
    <t>10.1016/j.jtrangeo.2018.04.013</t>
  </si>
  <si>
    <t>P116</t>
  </si>
  <si>
    <t>R²;Std deviation;t-Value</t>
  </si>
  <si>
    <t>Zhang, Desheng; He, Tian; Zhang, Fan; Xu, Chengzhong</t>
  </si>
  <si>
    <t>IEEE-ACM Trans. Netw.</t>
  </si>
  <si>
    <t>10.1109/TNET.2018.2801598</t>
  </si>
  <si>
    <t>P134</t>
  </si>
  <si>
    <t>2011-2014</t>
  </si>
  <si>
    <t>Mobile</t>
  </si>
  <si>
    <t>mPat Architecture</t>
  </si>
  <si>
    <t>Ouyang, Qi; Lv, Yongbo; Ren, Yuan; Ma, Jihui; Li, Jing</t>
  </si>
  <si>
    <t>10.1155/2018/9457486</t>
  </si>
  <si>
    <t>P100</t>
  </si>
  <si>
    <t>Apache Spark</t>
  </si>
  <si>
    <t>Sun, Feng; Su, Wenheng; Liu, Weixuan; Cao, Hui; Guo, Dong; Zhu, Ye</t>
  </si>
  <si>
    <t>J. Electr. Comput. Eng.</t>
  </si>
  <si>
    <t>10.1155/2018/2975615</t>
  </si>
  <si>
    <t>P014</t>
  </si>
  <si>
    <t>ARIMA;NARX</t>
  </si>
  <si>
    <t>Time series analysis;Time series analysis</t>
  </si>
  <si>
    <t>Wilcoxon signed-rank test;acuracy;MSE;R;Relative error</t>
  </si>
  <si>
    <t>Matlab;SQL</t>
  </si>
  <si>
    <t>Tang, Tao; Kong, Xiangjie; Li, Menglin; Wang, Jinzhong; Shen, Guojiang; Wang, Xinshuang</t>
  </si>
  <si>
    <t>10.1109/ACCESS.2018.2858260</t>
  </si>
  <si>
    <t>P137</t>
  </si>
  <si>
    <t>Network;Transit Feed</t>
  </si>
  <si>
    <t>Yap, M. D.; Nijenstein, S.; van Oort, N.</t>
  </si>
  <si>
    <t>10.1016/j.tranpol.2017.10.010</t>
  </si>
  <si>
    <t>P077</t>
  </si>
  <si>
    <t>Regression;Authors algorithm</t>
  </si>
  <si>
    <t>Van Oort et al. (2015a)</t>
  </si>
  <si>
    <t>in-vehicle travel time; transfer walking time; waiting time; number of transfers; travel fares</t>
  </si>
  <si>
    <t>Rodrigues, Filipe; Borysov, Stanislav S.; Ribeiro, Bernardete; Pereira, Francisco C.</t>
  </si>
  <si>
    <t>IEEE Trans. Pattern Anal. Mach. Intell.</t>
  </si>
  <si>
    <t>10.1109/TPAMI.2016.2635136</t>
  </si>
  <si>
    <t>P001</t>
  </si>
  <si>
    <t>Bayesian Additive Model-Gaussian Process;LDA</t>
  </si>
  <si>
    <t>Probability model;Language model</t>
  </si>
  <si>
    <t>Bayesian additive model; Gaussian process</t>
  </si>
  <si>
    <t>RAE;Correlation coefficient;R²</t>
  </si>
  <si>
    <t>Julia</t>
  </si>
  <si>
    <t>Viggiano, Cecilia; Koutsopoulos, Haris N.; Wilson, Nigel H. M.; Attanucci, John</t>
  </si>
  <si>
    <t>10.1007/s12469-016-0145-8</t>
  </si>
  <si>
    <t>P093</t>
  </si>
  <si>
    <t>ODX;k-means</t>
  </si>
  <si>
    <t>Gordon et al. 2013</t>
  </si>
  <si>
    <t>Briand, Anne-Sarah; Come, Etienne; Trepanier, Martin; Oukhellou, Latifa</t>
  </si>
  <si>
    <t>10.1016/j.trc.2017.03.021</t>
  </si>
  <si>
    <t>P015</t>
  </si>
  <si>
    <t>2005-2009</t>
  </si>
  <si>
    <t>Gatineau, Canada</t>
  </si>
  <si>
    <t>Gaussian mixture model</t>
  </si>
  <si>
    <t>KL divergence;entropy</t>
  </si>
  <si>
    <t>ICL;Entropy</t>
  </si>
  <si>
    <t>Zhao, Juanjuan; Zhang, Fan; Tu, Lai; Xu, Chengzhong; Shen, Dayong; Tian, Chen; Li, Xiang-Yang; Li, Zhengxi</t>
  </si>
  <si>
    <t>10.1109/TITS.2016.2587864</t>
  </si>
  <si>
    <t>P050</t>
  </si>
  <si>
    <t>Hadoop</t>
  </si>
  <si>
    <t>El Mahrsi, Mohamed K.; Come, Etienne; Oukhellou, Latifa; Verleysen, Michel</t>
  </si>
  <si>
    <t>10.1109/TITS.2016.2600515</t>
  </si>
  <si>
    <t>P028</t>
  </si>
  <si>
    <t>Rennes, France</t>
  </si>
  <si>
    <t>Count series clustering (Come and Oukhellou 2014)</t>
  </si>
  <si>
    <t>log likelihood ratios;AIC;BIC</t>
  </si>
  <si>
    <t>Zhou, Meng; Wang, Donggen; Li, Qingquan; Yue, Yang; Tu, Wei; Cao, Rui</t>
  </si>
  <si>
    <t>10.1016/j.trc.2016.12.001</t>
  </si>
  <si>
    <t>P075</t>
  </si>
  <si>
    <t>Meteorological;Network;Network;Layers;Layers</t>
  </si>
  <si>
    <t>Multivariate regression model</t>
  </si>
  <si>
    <t>public transit ridership; temperature; relative humidity; air pressure; wind speed; rainfall</t>
  </si>
  <si>
    <t>F-Score;R²</t>
  </si>
  <si>
    <t>de Regt, Karin; Cats, Oded; Van Oort, Niels; van Lint, Hans</t>
  </si>
  <si>
    <t>10.3141/2652-06</t>
  </si>
  <si>
    <t>P090</t>
  </si>
  <si>
    <t>Rotterdam, Netherlands</t>
  </si>
  <si>
    <t>Data fusion</t>
  </si>
  <si>
    <t>MPE</t>
  </si>
  <si>
    <t>Matlab;ArcGIS;Python</t>
  </si>
  <si>
    <t>Ma, Xiaolei; Liu, Congcong; Wen, Huimin; Wang, Yunpeng; Wu, Yao-Jan</t>
  </si>
  <si>
    <t>10.1016/j.jtrangeo.2016.12.001</t>
  </si>
  <si>
    <t>P126</t>
  </si>
  <si>
    <t>TOPSIS (Hwang and Yoon, 1981)</t>
  </si>
  <si>
    <t>Commuting Score (CS)</t>
  </si>
  <si>
    <t>Wang, Jinzhong; Kong, Xiangjie; Rahim, Azizur; Xia, Feng; Tolba, Amr; Al-Makhadmeh, Zafer</t>
  </si>
  <si>
    <t>10.1109/ACCESS.2017.2766237</t>
  </si>
  <si>
    <t>P092</t>
  </si>
  <si>
    <t>POI;Network</t>
  </si>
  <si>
    <t>IS2Fun</t>
  </si>
  <si>
    <t>Doc2vec;TF-IDF</t>
  </si>
  <si>
    <t>Average trip displacement (km);average trip duration (min);Average trip interval (min)</t>
  </si>
  <si>
    <t>Xie, Xiaoyan; Leurent, Fabien</t>
  </si>
  <si>
    <t>10.3141/2648-16</t>
  </si>
  <si>
    <t>P047</t>
  </si>
  <si>
    <t>Stochastic mode;OD matrix</t>
  </si>
  <si>
    <t>OD matrix (Xie et al. 2015)</t>
  </si>
  <si>
    <t>log likelihood ratios;Std deviation</t>
  </si>
  <si>
    <t>Tao, Sui; Corcoran, Jonathan; Hickman, Mark; Stimson, Robert</t>
  </si>
  <si>
    <t>10.1016/j.jtrangeo.2016.05.009</t>
  </si>
  <si>
    <t>P121</t>
  </si>
  <si>
    <t>Partial correlations;Moran's I</t>
  </si>
  <si>
    <t>Moran's I;t-Value</t>
  </si>
  <si>
    <t>Tirachini, Alejandro; Sun, Lijun; Erath, Alexander; Chakirov, Artem</t>
  </si>
  <si>
    <t>10.1016/j.tranpol.2015.12.004</t>
  </si>
  <si>
    <t>P136</t>
  </si>
  <si>
    <t>2011</t>
  </si>
  <si>
    <t>SM</t>
  </si>
  <si>
    <t>Langlois, Gabriel Goulet; Koutsopoulos, Haris N.; Zhao, Jinhua</t>
  </si>
  <si>
    <t>10.1016/j.trc.2015.12.012</t>
  </si>
  <si>
    <t>P083</t>
  </si>
  <si>
    <t>Clustering;Dimensionality reduction;Regression;Clustering</t>
  </si>
  <si>
    <t>Foell, Stefan; Phithakkitnukoon, Santi; Veloso, Marco; Kortuem, Gerd; Bento, Carlos</t>
  </si>
  <si>
    <t>J. Publ. Transp.</t>
  </si>
  <si>
    <t>10.5038/2375-0901.19.4.10</t>
  </si>
  <si>
    <t>P111</t>
  </si>
  <si>
    <t>2010</t>
  </si>
  <si>
    <t>Vector space model</t>
  </si>
  <si>
    <t>Algebraic model</t>
  </si>
  <si>
    <t>Similarity coefficient</t>
  </si>
  <si>
    <t>Nunes, Antonio A.; Dias, Teresa Galvao; Falcao e Cunha, Joao</t>
  </si>
  <si>
    <t>10.1109/TITS.2015.2464335</t>
  </si>
  <si>
    <t>P099</t>
  </si>
  <si>
    <t>Porto, Portugal</t>
  </si>
  <si>
    <t>Network;Network;Network</t>
  </si>
  <si>
    <t>Yi, Yongju; Choi, Keechoo; Lee, Young-Jae</t>
  </si>
  <si>
    <t>10.5038/2375-0901.19.4.11</t>
  </si>
  <si>
    <t>P097</t>
  </si>
  <si>
    <t>Suwon, South Korea</t>
  </si>
  <si>
    <t>Genetic algorithm;LSBRS Regression Model</t>
  </si>
  <si>
    <t>Genetic algorithm;Regression</t>
  </si>
  <si>
    <t>Total travel time;OnOffTime;AccelerationDeccelerationTime</t>
  </si>
  <si>
    <t>Le-Minh Kieu; Bhaskar, Ashish; Chung, Edward</t>
  </si>
  <si>
    <t>10.1016/j.trc.2015.03.033</t>
  </si>
  <si>
    <t>P005</t>
  </si>
  <si>
    <t>WS-DBSCAN</t>
  </si>
  <si>
    <t>Zhang, Fuzheng; Yuan, Nicholas Jing; Wang, Yingzi; Xie, Xing</t>
  </si>
  <si>
    <t>Knowl. Inf. Syst.</t>
  </si>
  <si>
    <t>10.1007/s10115-014-0763-x</t>
  </si>
  <si>
    <t>P110</t>
  </si>
  <si>
    <t>Network;Travel data</t>
  </si>
  <si>
    <t>Conditional Random Fields</t>
  </si>
  <si>
    <t>Semi-supervised CRF with constraints</t>
  </si>
  <si>
    <t>Zhong, Chen; Huang, Xianfeng; Arisona, Stefan Mueller; Schmitt, Gerhard; Batty, Michael</t>
  </si>
  <si>
    <t>10.1016/j.compenvurbsys.2014.07.004</t>
  </si>
  <si>
    <t>P081</t>
  </si>
  <si>
    <t>Regression;Probability model</t>
  </si>
  <si>
    <t>Alighting time;Age distribution;Activity frequency;Staying time;Walking distance;Location</t>
  </si>
  <si>
    <t>Arana, P.; Cabezudo, S.; Penalba, M.</t>
  </si>
  <si>
    <t>10.1016/j.tra.2013.10.019</t>
  </si>
  <si>
    <t>P085</t>
  </si>
  <si>
    <t>2010-2011</t>
  </si>
  <si>
    <t>Gipuzkoa, Spain</t>
  </si>
  <si>
    <t>multivariable regression model</t>
  </si>
  <si>
    <t>Song, Ji Young; Eom, Jin Ki; Kim, Sung Il</t>
  </si>
  <si>
    <t>Promet</t>
  </si>
  <si>
    <t>10.7307/ptt.v26i4.1394</t>
  </si>
  <si>
    <t>P055</t>
  </si>
  <si>
    <t>R²;t-Value;log likelihood ratios</t>
  </si>
  <si>
    <t>Schmoecker, Jan-Dirk; Shimamoto, Hiroshi; Kurauchi, Fumitaka</t>
  </si>
  <si>
    <t>10.1016/j.trc.2013.06.014</t>
  </si>
  <si>
    <t>P068</t>
  </si>
  <si>
    <t>Japan</t>
  </si>
  <si>
    <t>Generation logit model  (Swait 2001)</t>
  </si>
  <si>
    <t>scale parameter;likelihood function</t>
  </si>
  <si>
    <t>log likelihood ratios;t-Value</t>
  </si>
  <si>
    <t>Zhao, Jinhua; Frumin, Michael; Wilson, Nigel; Zhao, Zhan</t>
  </si>
  <si>
    <t>10.1016/j.trc.2013.05.009</t>
  </si>
  <si>
    <t>P130</t>
  </si>
  <si>
    <t>2008</t>
  </si>
  <si>
    <t>EJT framework</t>
  </si>
  <si>
    <t>Trepanier, Martin; Tranchant, Nicolas; Chapleau, Robert</t>
  </si>
  <si>
    <t>J. Intell. Transport. Syst.</t>
  </si>
  <si>
    <t>10.1080/15472450601122256</t>
  </si>
  <si>
    <t>P079</t>
  </si>
  <si>
    <t>2003</t>
  </si>
  <si>
    <t>Trip destination estimation model</t>
  </si>
  <si>
    <t>Trip destinaton model</t>
  </si>
  <si>
    <t>Visual Basic for Applications;Microsoft Access</t>
  </si>
  <si>
    <t>Li, Can; Bai, Lei; Liu, Wei; Yao, Lina; Waller, S. Travis</t>
  </si>
  <si>
    <t>P133</t>
  </si>
  <si>
    <t>Sydney, Australia</t>
  </si>
  <si>
    <t>Product-based spatial and temporal module with Inner-product neural network + Auto-encoder-based compression module</t>
  </si>
  <si>
    <t>MSE;Accuracy;PPV;TPR</t>
  </si>
  <si>
    <t>Wu, Pan; Xu, Lunhui; Li, Jinlong; Guo, Hengcong; Huang, Zilin</t>
  </si>
  <si>
    <t>SEP 1</t>
  </si>
  <si>
    <t>10.1061/JTEPBS.0000721</t>
  </si>
  <si>
    <t>P144</t>
  </si>
  <si>
    <t>Framework for Recognizing transfer passengers</t>
  </si>
  <si>
    <t>Seaborn et al. (2009); Limpert et al. (2001)</t>
  </si>
  <si>
    <t>Wilcoxon rank-sum test</t>
  </si>
  <si>
    <t>PTV Visum;SQL;Python</t>
  </si>
  <si>
    <t>Social/Economic/Demographic</t>
  </si>
  <si>
    <t>Accessibility</t>
  </si>
  <si>
    <t>Spatio-temporal</t>
  </si>
  <si>
    <t>Passenger</t>
  </si>
  <si>
    <t>Transfer</t>
  </si>
  <si>
    <t>Travel time</t>
  </si>
  <si>
    <t>Flow</t>
  </si>
  <si>
    <t>Passengers behaviour</t>
  </si>
  <si>
    <t>Route choice</t>
  </si>
  <si>
    <t>Journey time</t>
  </si>
  <si>
    <t>COVID-19</t>
  </si>
  <si>
    <t>Service disruptions/incidents</t>
  </si>
  <si>
    <t>Mobility performance</t>
  </si>
  <si>
    <t>Data imputation</t>
  </si>
  <si>
    <t>Improve data quality</t>
  </si>
  <si>
    <t>Waiting time</t>
  </si>
  <si>
    <t>Fare</t>
  </si>
  <si>
    <t>Arrival time</t>
  </si>
  <si>
    <t>Estimate alighting</t>
  </si>
  <si>
    <t>Custom routes</t>
  </si>
  <si>
    <t>Activity detection</t>
  </si>
  <si>
    <t>Occupancy</t>
  </si>
  <si>
    <t>Python;Java;Matlab</t>
  </si>
  <si>
    <t>ArcGIS;SPSS</t>
  </si>
  <si>
    <t>QGIS</t>
  </si>
  <si>
    <t>C++</t>
  </si>
  <si>
    <t>Multimodal components</t>
  </si>
  <si>
    <t>Subway;Bus</t>
  </si>
  <si>
    <t>Bike;Subway</t>
  </si>
  <si>
    <t>Bus;Subway</t>
  </si>
  <si>
    <t>Bus;Subway;Train;Tram</t>
  </si>
  <si>
    <t>Subway;Tram;Train</t>
  </si>
  <si>
    <t>Bus;Tram;Subway;Train;Ferry</t>
  </si>
  <si>
    <t>Bus;Train</t>
  </si>
  <si>
    <t>Bus;Tram</t>
  </si>
  <si>
    <t>Subway;Bus;Tram</t>
  </si>
  <si>
    <t>Bus;Train;Tram;Subway</t>
  </si>
  <si>
    <t>Subway;Train;Bus</t>
  </si>
  <si>
    <t>Train;Tram;Bus</t>
  </si>
  <si>
    <t>Train;Bus;Ferry</t>
  </si>
  <si>
    <t>Subway;Tram</t>
  </si>
  <si>
    <t>Subway;Bike</t>
  </si>
  <si>
    <t>Bus;Subway;Train</t>
  </si>
  <si>
    <t>Bus;Train;Ferry</t>
  </si>
  <si>
    <t>Bus;Ferry</t>
  </si>
  <si>
    <t>Bus;Ferry;Train</t>
  </si>
  <si>
    <t>Bus;Subway;Tram</t>
  </si>
  <si>
    <t>Bus;Train;Ferry;Tram</t>
  </si>
  <si>
    <t>Bus;Tram;Subway</t>
  </si>
  <si>
    <t>Bus;Subway;Taxi</t>
  </si>
  <si>
    <t>Bus;Subway;Ferry;Train;Tram</t>
  </si>
  <si>
    <t>Transport mode</t>
  </si>
  <si>
    <t>Supplementary datasets</t>
  </si>
  <si>
    <t>Analytical category</t>
  </si>
  <si>
    <t>Analytical subcategory</t>
  </si>
  <si>
    <t>Algorithm type</t>
  </si>
  <si>
    <t>Chen, Enyi; Luo, Qin; Chen, Jingjing; He, Yuxin</t>
  </si>
  <si>
    <t>Transportmetrica B-Transp. Dyn.</t>
  </si>
  <si>
    <t>DEC 31</t>
  </si>
  <si>
    <t>10.1080/21680566.2023.2226824</t>
  </si>
  <si>
    <t>P178</t>
  </si>
  <si>
    <t>Clustering;Trip choice algorithm;Classification;Classification;Classification;Classification;Classification;Data augmentation</t>
  </si>
  <si>
    <t>AUC;ACC</t>
  </si>
  <si>
    <t>Shin, You-Sun; Jung, Jay Hoon; Kwon, YoungMin</t>
  </si>
  <si>
    <t>Cogent Eng.</t>
  </si>
  <si>
    <t>10.1080/23311916.2023.2203800</t>
  </si>
  <si>
    <t>P180</t>
  </si>
  <si>
    <t>Jeonju, South Korea</t>
  </si>
  <si>
    <t>Clustering;Trip destinaton model</t>
  </si>
  <si>
    <t>Cortes, Cristian E.; Donoso, Pedro; Gutierrez, Leonel; Herl, Daniel; Munoz, Diego</t>
  </si>
  <si>
    <t>Transp. Res. Pt. B-Methodol.</t>
  </si>
  <si>
    <t>10.1016/j.trb.2023.102780</t>
  </si>
  <si>
    <t>P179</t>
  </si>
  <si>
    <t>2018;2019</t>
  </si>
  <si>
    <t>Santiago de Chile, Chile</t>
  </si>
  <si>
    <t>Stochastic modeling</t>
  </si>
  <si>
    <t>Stochastic model</t>
  </si>
  <si>
    <t>WMAE;WMAPE</t>
  </si>
  <si>
    <t>Lizana, Maximiliano; Choudhury, Charisma; Watling, David</t>
  </si>
  <si>
    <t>10.1016/j.tbs.2023.100620</t>
  </si>
  <si>
    <t>P167</t>
  </si>
  <si>
    <t>Classification;Clustering;Regression</t>
  </si>
  <si>
    <t>Accuracy;pseudo-R²</t>
  </si>
  <si>
    <t>Chen, Xin; Jiang, Yu; Ingvardson, Jesper Blafoss; Luo, Xia; Nielsen, Otto Anker</t>
  </si>
  <si>
    <t>10.1016/j.tra.2023.103747</t>
  </si>
  <si>
    <t>P166</t>
  </si>
  <si>
    <t>Kolmogorov-Smirnov test statistic</t>
  </si>
  <si>
    <t>Lin, Joanne Yuh-Jye; Jenelius, Erik; Cebecauer, Matej; Rubensson, Isak; Chen, Cynthia</t>
  </si>
  <si>
    <t>10.1016/j.jtrangeo.2023.103631</t>
  </si>
  <si>
    <t>P171</t>
  </si>
  <si>
    <t>Stockholm Region, Sweden</t>
  </si>
  <si>
    <t>Transit Feed;Social/Demographic/Economic</t>
  </si>
  <si>
    <t>Economical model;Economical model;Economical model;Regression;Authors algorithm;Regression</t>
  </si>
  <si>
    <t>Shanthappa, Nithin K.; Mulangi, Raviraj H.; Manjunath, Harsha M.</t>
  </si>
  <si>
    <t>J. Geovis. Spat. Anal.</t>
  </si>
  <si>
    <t>10.1007/s41651-023-00139-z</t>
  </si>
  <si>
    <t>P168</t>
  </si>
  <si>
    <t>2022</t>
  </si>
  <si>
    <t>Davangere, India</t>
  </si>
  <si>
    <t>non-negative tensor decomposition</t>
  </si>
  <si>
    <t>Lin, Yuqian; Xu, Yang; Zhao, Zhan; Park, Sangwon; Su, Shiliang; Ren, Mengyao</t>
  </si>
  <si>
    <t>10.1016/j.tbs.2023.100587</t>
  </si>
  <si>
    <t>P172</t>
  </si>
  <si>
    <t>2019-2020</t>
  </si>
  <si>
    <t>Jeju, South Korea</t>
  </si>
  <si>
    <t>Regression;Time series analysis;Descriptive statistics</t>
  </si>
  <si>
    <t>Jiao, Hongzan; Huang, Shibiao; Zhou, Yu</t>
  </si>
  <si>
    <t>10.1016/j.jtrangeo.2023.103568</t>
  </si>
  <si>
    <t>P163</t>
  </si>
  <si>
    <t>Time Series Analysis;Clustering</t>
  </si>
  <si>
    <t>DBI;Silhouette score;CHI</t>
  </si>
  <si>
    <t>Li, Peng; Wu, Weitiao; Pei, Xiangjing</t>
  </si>
  <si>
    <t>Physica A</t>
  </si>
  <si>
    <t>APR 15</t>
  </si>
  <si>
    <t>10.1016/j.physa.2023.128567</t>
  </si>
  <si>
    <t>P165</t>
  </si>
  <si>
    <t>Guangzhou, China</t>
  </si>
  <si>
    <t>Social/Demographic/Economic;Meteorological</t>
  </si>
  <si>
    <t>RNN;Authors algorithm</t>
  </si>
  <si>
    <t>Deep learning;Authors algorithm</t>
  </si>
  <si>
    <t>J. Urban Mobil.</t>
  </si>
  <si>
    <t>10.1016/j.urbmob.2022.100035</t>
  </si>
  <si>
    <t>P174</t>
  </si>
  <si>
    <t>Bus;Tram;Subway;Ferry</t>
  </si>
  <si>
    <t>Tiam-Lee, Thomas James; Henriques, Rui</t>
  </si>
  <si>
    <t>10.1186/s12544-022-00558-x</t>
  </si>
  <si>
    <t>P169</t>
  </si>
  <si>
    <t>Ye, Jiexia; Zhao, Juanjuan; Zheng, Furong; Xu, Chengzhong</t>
  </si>
  <si>
    <t>Neural Comput. Appl.</t>
  </si>
  <si>
    <t>10.1007/s00521-022-07866-2</t>
  </si>
  <si>
    <t>P160</t>
  </si>
  <si>
    <t>2014;2019</t>
  </si>
  <si>
    <t>Shenzhen, China;Hangzhou, China</t>
  </si>
  <si>
    <t>OD Matrix Generation</t>
  </si>
  <si>
    <t>RMSE;MAE;WMAPE;SMAPE</t>
  </si>
  <si>
    <t>Lee, Eun Hak</t>
  </si>
  <si>
    <t>SEP 9</t>
  </si>
  <si>
    <t>10.1155/2022/6458371</t>
  </si>
  <si>
    <t>P161</t>
  </si>
  <si>
    <t>2019;2020</t>
  </si>
  <si>
    <t>Regression;Game theory</t>
  </si>
  <si>
    <t>Specifity;S;Accuracy</t>
  </si>
  <si>
    <t>Lee, Inmook; Cho, Shin-Hyung; Kim, Kyoungtae; Kho, Seung-Young; Kim, Dong-Kyu</t>
  </si>
  <si>
    <t>JUN 24</t>
  </si>
  <si>
    <t>10.1371/journal.pone.0270346</t>
  </si>
  <si>
    <t>Sejong City, South Korea</t>
  </si>
  <si>
    <t>Clustering;Classification</t>
  </si>
  <si>
    <t>Accuracy;MAE;SSE</t>
  </si>
  <si>
    <t>Ku, W. K.; Kou, K. P.; Lam, S. H.; Wong, K., I</t>
  </si>
  <si>
    <t>MAY 27</t>
  </si>
  <si>
    <t>10.1080/23249935.2022.2079755</t>
  </si>
  <si>
    <t>P175</t>
  </si>
  <si>
    <t>Macao, China</t>
  </si>
  <si>
    <t>DBSCAN;HIERARCHICHAL AGGLOMERATIVE CLUSTERING</t>
  </si>
  <si>
    <t>Ishii, Yoshinao; Hayakawa, Keiichiro; Koide, Satoshi; Chikaraishi, Makoto</t>
  </si>
  <si>
    <t>10.1016/j.trc.2022.103559</t>
  </si>
  <si>
    <t>P170</t>
  </si>
  <si>
    <t>Hiroshima, Japan</t>
  </si>
  <si>
    <t>Algebraic model;Algebraic model</t>
  </si>
  <si>
    <t>Kullback–Leibler divergence</t>
  </si>
  <si>
    <t>Wei, Ming</t>
  </si>
  <si>
    <t>10.1016/j.jtrangeo.2021.103242</t>
  </si>
  <si>
    <t>P156</t>
  </si>
  <si>
    <t>Bus;Tram;Ferry;Train</t>
  </si>
  <si>
    <t>2015-2016</t>
  </si>
  <si>
    <t>IDW interpolation;GWNBR</t>
  </si>
  <si>
    <t>Multivariate interpolation;Regression</t>
  </si>
  <si>
    <t>Liu, Yang; Ji, Yanjie; Feng, Tao; Shi, Zhuangbin</t>
  </si>
  <si>
    <t>10.1016/j.tbs.2021.09.006</t>
  </si>
  <si>
    <t>P159</t>
  </si>
  <si>
    <t>Network;Web mapping service;Land use</t>
  </si>
  <si>
    <t>Classification;Authors algorithm</t>
  </si>
  <si>
    <t>R²;Kolmogorov-Smirnov;BIC;Angle cosine;Euclidean distance</t>
  </si>
  <si>
    <t>Zuo, Yufan; Fu, Xiao; Liu, Zhiyuan; Huang, Di</t>
  </si>
  <si>
    <t>10.1016/j.jtrangeo.2021.103075</t>
  </si>
  <si>
    <t>P155</t>
  </si>
  <si>
    <t>Neural networks;OD matrix;Authors algorithm</t>
  </si>
  <si>
    <t>Accuracy;F-Score;PPV;TPR</t>
  </si>
  <si>
    <t>Santin, Priscila; Gubert, Fernanda R.; Fonseca, Mauro; Munaretto, Anelise; Silva, Thiago Henrique</t>
  </si>
  <si>
    <t>10.3390/su12229603</t>
  </si>
  <si>
    <t>P176</t>
  </si>
  <si>
    <t>Curitiba, Brazil</t>
  </si>
  <si>
    <t>GPS;Network</t>
  </si>
  <si>
    <t>Zhong, Jiaming; He, Zhaocheng; Tian, Chenyu</t>
  </si>
  <si>
    <t>10.1016/j.jtrangeo.2019.102466</t>
  </si>
  <si>
    <t>P173</t>
  </si>
  <si>
    <t>k-means;OD matrix</t>
  </si>
  <si>
    <t>Cluster;OD matrix</t>
  </si>
  <si>
    <t>Viallard, Alexis; Trepanier, Martin; Morency, Catherine</t>
  </si>
  <si>
    <t>10.1177/0361198119834561</t>
  </si>
  <si>
    <t>P157</t>
  </si>
  <si>
    <t>2012-2014</t>
  </si>
  <si>
    <t>Wilcoxon signed-rank test</t>
  </si>
  <si>
    <t>Zhou, Jiangping; Sipe, Neil; Ma, Zhenliang; Mateo-Babiano, Derlie; Darchen, Sebastien</t>
  </si>
  <si>
    <t>10.1016/j.jtrangeo.2017.07.005</t>
  </si>
  <si>
    <t>P158</t>
  </si>
  <si>
    <t>Authors algorithm;OD matrix</t>
  </si>
  <si>
    <t>Zhou, Jiangping; Murphy, Enda</t>
  </si>
  <si>
    <t>10.1016/j.jtrangeo.2018.11.014</t>
  </si>
  <si>
    <t>P152</t>
  </si>
  <si>
    <t>Survey;Social/Demographic/Economic</t>
  </si>
  <si>
    <t>Excess commuting and commuting economy frameworks</t>
  </si>
  <si>
    <t>Economical model</t>
  </si>
  <si>
    <t>Ling, Ximan; Huang, Zhiren; Wang, Chengcheng; Zhang, Fan; Wang, Pu</t>
  </si>
  <si>
    <t>AUG 27</t>
  </si>
  <si>
    <t>10.1371/journal.pone.0202707</t>
  </si>
  <si>
    <t>P153</t>
  </si>
  <si>
    <t>Time series analysis;Neural networks;Regression;Regression</t>
  </si>
  <si>
    <t>MAPE;RMSE;VAPE</t>
  </si>
  <si>
    <t>Zhao, Zhan; Koutsopoulos, Hans N.; Zhao, Jinhua</t>
  </si>
  <si>
    <t>10.1016/j.trc.2018.01.022</t>
  </si>
  <si>
    <t>P148</t>
  </si>
  <si>
    <t>2014-206</t>
  </si>
  <si>
    <t>London, UK</t>
  </si>
  <si>
    <t>n-gram</t>
  </si>
  <si>
    <t>F-Score;Accuracy;Entropy</t>
  </si>
  <si>
    <t>Lu, Kai; Khani, Alireza; Han, Baoming</t>
  </si>
  <si>
    <t>Complexity</t>
  </si>
  <si>
    <t>10.1155/2018/3412070</t>
  </si>
  <si>
    <t>Multinominal Logit model;Mixed logit model;Mixed Logit Model with Correlated Normally Distributed Random Coefficients</t>
  </si>
  <si>
    <t>Classification;Classification;Classification</t>
  </si>
  <si>
    <t>Accuracy;R²;log-likelihood;chi-quare test</t>
  </si>
  <si>
    <t>Bao, Jie; Xu, Chengcheng; Liu, Pan; Wang, Wei</t>
  </si>
  <si>
    <t>Netw Spat. Econ.</t>
  </si>
  <si>
    <t>10.1007/s11067-017-9366-x</t>
  </si>
  <si>
    <t>P147</t>
  </si>
  <si>
    <t>New York, USA</t>
  </si>
  <si>
    <t>Language model;Clustering;Clustering</t>
  </si>
  <si>
    <t>Silhouette score;PP</t>
  </si>
  <si>
    <t>Zhang, Desheng; Zhao, Juanjuan; Zhang, Fan; Jiang, Ruobing; He, Tian; Papanikolopoulos, Nikos</t>
  </si>
  <si>
    <t>ACM Trans. Cyber-Phys. Syst.</t>
  </si>
  <si>
    <t>10.1145/2823326</t>
  </si>
  <si>
    <t>P162</t>
  </si>
  <si>
    <t>Mobile;GPS;Sensor data</t>
  </si>
  <si>
    <t>Authors algorithm;Graph model;DBSCAN</t>
  </si>
  <si>
    <t>Authors algorithm;Graph model;Clustering</t>
  </si>
  <si>
    <t>Zhao, Jinbao; Wang, Jian; Deng, Wei</t>
  </si>
  <si>
    <t>10.1016/j.trc.2015.01.030</t>
  </si>
  <si>
    <t>P146</t>
  </si>
  <si>
    <t>Z-score</t>
  </si>
  <si>
    <t>Z-score;SD;chi-quare test</t>
  </si>
  <si>
    <t>Kusakabe, Takahiko; Asakura, Yasuo</t>
  </si>
  <si>
    <t>10.1016/j.trc.2014.05.012</t>
  </si>
  <si>
    <t>2007-2009</t>
  </si>
  <si>
    <t>Osaka, Japan</t>
  </si>
  <si>
    <t>Naïve Bayes</t>
  </si>
  <si>
    <t>Accuracy;t-Value</t>
  </si>
  <si>
    <t>Diab, Ehab I.; EI-Geneidy, Ahmed M.</t>
  </si>
  <si>
    <t>10.1016/j.tra.2011.11.013</t>
  </si>
  <si>
    <t>P149</t>
  </si>
  <si>
    <t>2007-2011</t>
  </si>
  <si>
    <t>Montréal, Canada</t>
  </si>
  <si>
    <t>linear regression</t>
  </si>
  <si>
    <t>Frumin, Michael; Zhao, Jinhua</t>
  </si>
  <si>
    <t>10.3141/2274-05</t>
  </si>
  <si>
    <t>P151</t>
  </si>
  <si>
    <t>Probabilistic model</t>
  </si>
  <si>
    <t>Perl</t>
  </si>
  <si>
    <t>Data augmentation;Deep learning;Deep learning</t>
  </si>
  <si>
    <t>Hidden Markov Model</t>
  </si>
  <si>
    <t>Linear programming</t>
  </si>
  <si>
    <t>Dynamic programming</t>
  </si>
  <si>
    <t>Poisson distribution</t>
  </si>
  <si>
    <t>Long short-term memory</t>
  </si>
  <si>
    <t>Bidirectional Long short-term memory</t>
  </si>
  <si>
    <t>Unidirectional Long short-term memory</t>
  </si>
  <si>
    <t>Logistic regression</t>
  </si>
  <si>
    <t>k-NN</t>
  </si>
  <si>
    <t>Random forest</t>
  </si>
  <si>
    <t>Ranking Algorithm</t>
  </si>
  <si>
    <t>top-k neighbor</t>
  </si>
  <si>
    <t>TF-IDF</t>
  </si>
  <si>
    <t>K-means++</t>
  </si>
  <si>
    <t>Multivariate ordinary least square regression</t>
  </si>
  <si>
    <t>Probability distribution functions</t>
  </si>
  <si>
    <t>Naive Bayes</t>
  </si>
  <si>
    <t>Convolutional neural networks</t>
  </si>
  <si>
    <t>Densely Connected Convolutional Networks</t>
  </si>
  <si>
    <t>Common lines analysis</t>
  </si>
  <si>
    <t>Random Utility Maximization</t>
  </si>
  <si>
    <t>Binary logit</t>
  </si>
  <si>
    <t>Latent class analysis</t>
  </si>
  <si>
    <t>Clustering based on socioeconomics</t>
  </si>
  <si>
    <t>BL</t>
  </si>
  <si>
    <t>Non-negative matrix factorization</t>
  </si>
  <si>
    <t>Continuous user-based model</t>
  </si>
  <si>
    <t>Negative binomial regression</t>
  </si>
  <si>
    <t>Fractional response</t>
  </si>
  <si>
    <t>Regression Trees</t>
  </si>
  <si>
    <t>Gaussian Process Regressor</t>
  </si>
  <si>
    <t>Support vector machine</t>
  </si>
  <si>
    <t>Decision tree</t>
  </si>
  <si>
    <t>ReliefF</t>
  </si>
  <si>
    <t>Fixed effects</t>
  </si>
  <si>
    <t>Shapley Additive Explanations</t>
  </si>
  <si>
    <t>Random Forest</t>
  </si>
  <si>
    <t>Logistic Regression</t>
  </si>
  <si>
    <t>k-means++</t>
  </si>
  <si>
    <t>group mobility correlation</t>
  </si>
  <si>
    <t>individual correlation</t>
  </si>
  <si>
    <t>AVL, Fare and Schedule integration model</t>
  </si>
  <si>
    <t>Dwell time model</t>
  </si>
  <si>
    <t>trip-chaining model</t>
  </si>
  <si>
    <t>Passenger to train assignment</t>
  </si>
  <si>
    <t>Semiparametric regression</t>
  </si>
  <si>
    <t>Panel data model</t>
  </si>
  <si>
    <t>Partitioning around medoids</t>
  </si>
  <si>
    <t>Binary classification</t>
  </si>
  <si>
    <t>ID-based dataset clustering</t>
  </si>
  <si>
    <t>Card ID-based analysis</t>
  </si>
  <si>
    <t>Route-based analysis</t>
  </si>
  <si>
    <t>Day-to-day variability model</t>
  </si>
  <si>
    <t>Path size logit</t>
  </si>
  <si>
    <t>Broyden-Fletcher-Goldfarb-Shanno</t>
  </si>
  <si>
    <t>Gravity-based model</t>
  </si>
  <si>
    <t>Spatial Durbin Model</t>
  </si>
  <si>
    <t>Ordinary least squares</t>
  </si>
  <si>
    <t>Lagrange Multiplier</t>
  </si>
  <si>
    <t>Spatial Error Model</t>
  </si>
  <si>
    <t>Lorenz Curves</t>
  </si>
  <si>
    <t>Gini-Indexes</t>
  </si>
  <si>
    <t>descriptive statistics</t>
  </si>
  <si>
    <t>London Output Area Clasification</t>
  </si>
  <si>
    <t>regression model</t>
  </si>
  <si>
    <t>Local outlier factor</t>
  </si>
  <si>
    <t>Rodriguez–Laio 2014</t>
  </si>
  <si>
    <t>Decision Tree diagram</t>
  </si>
  <si>
    <t>Multi-task CNN</t>
  </si>
  <si>
    <t>ProClus</t>
  </si>
  <si>
    <t>HDDC</t>
  </si>
  <si>
    <t>Cluster refinement framework with Cluster Member Based Stability</t>
  </si>
  <si>
    <t>PCA</t>
  </si>
  <si>
    <t>EM algorithm</t>
  </si>
  <si>
    <t>PageRank</t>
  </si>
  <si>
    <t>Clauset–Newman–Moore</t>
  </si>
  <si>
    <t>Combo</t>
  </si>
  <si>
    <t>Normalized Mutual Information</t>
  </si>
  <si>
    <t>GWR</t>
  </si>
  <si>
    <t>Ordinary Least Squares</t>
  </si>
  <si>
    <t>Ortegatong et al. 2013</t>
  </si>
  <si>
    <t>Binary logistic model</t>
  </si>
  <si>
    <t>Direct Ridership Model</t>
  </si>
  <si>
    <t>ordinary least squares</t>
  </si>
  <si>
    <t>DBSACN</t>
  </si>
  <si>
    <t>Single-layer perceptron neural networks</t>
  </si>
  <si>
    <t>alighting stop inference algorithm</t>
  </si>
  <si>
    <t>Self organizing map</t>
  </si>
  <si>
    <t>Genetic Algorithm</t>
  </si>
  <si>
    <t>Boarding stop estimation</t>
  </si>
  <si>
    <t>Mobility pattern estimation: Clustering: k-means and hierarchical agglomerative</t>
  </si>
  <si>
    <t>P-DN</t>
  </si>
  <si>
    <t>X-means</t>
  </si>
  <si>
    <t>Hamming algorithm</t>
  </si>
  <si>
    <t>Ward's algorithm</t>
  </si>
  <si>
    <t>Spatial lag</t>
  </si>
  <si>
    <t>Spatial Error</t>
  </si>
  <si>
    <t>Bayesian Hierarchical</t>
  </si>
  <si>
    <t>Markov chain Monte Carlo</t>
  </si>
  <si>
    <t>Multinomial Logit</t>
  </si>
  <si>
    <t>Suspect identification models</t>
  </si>
  <si>
    <t>Extraction of Activity Types and Change Detection</t>
  </si>
  <si>
    <t>Jensen-Shannon divergence</t>
  </si>
  <si>
    <t>Local indicators of spatial association clustering</t>
  </si>
  <si>
    <t>Spatial lag model</t>
  </si>
  <si>
    <t>Spatial error model</t>
  </si>
  <si>
    <t>Modularity-based community detection algorithm</t>
  </si>
  <si>
    <t>Multiple linear regression</t>
  </si>
  <si>
    <t>trip reconstruction</t>
  </si>
  <si>
    <t>ARIMA</t>
  </si>
  <si>
    <t>NARX</t>
  </si>
  <si>
    <t>Ridership prediction model</t>
  </si>
  <si>
    <t>rule-based procedure</t>
  </si>
  <si>
    <t>Bayesian Additive Model-Gaussian Process</t>
  </si>
  <si>
    <t>ODX</t>
  </si>
  <si>
    <t>Poisson mixture</t>
  </si>
  <si>
    <t>mixture of unigrams model</t>
  </si>
  <si>
    <t>multinomial logit model</t>
  </si>
  <si>
    <t>Genetic algorithm</t>
  </si>
  <si>
    <t>LSBRS Regression Model</t>
  </si>
  <si>
    <t>Fully connected network</t>
  </si>
  <si>
    <t>Recurrent neural networks</t>
  </si>
  <si>
    <t>Long-short term memory neural network</t>
  </si>
  <si>
    <t>Random Utility Model</t>
  </si>
  <si>
    <t>Multinomial Logit model</t>
  </si>
  <si>
    <t>Generation logit model</t>
  </si>
  <si>
    <t>Cross-nested Logit model</t>
  </si>
  <si>
    <t>Route travel time prediction model</t>
  </si>
  <si>
    <t>dwell time model</t>
  </si>
  <si>
    <t>passenger arrival rate prediction model</t>
  </si>
  <si>
    <t>trip choice model</t>
  </si>
  <si>
    <t>LGBM</t>
  </si>
  <si>
    <t>decision tree</t>
  </si>
  <si>
    <t>logistic regresion</t>
  </si>
  <si>
    <t>random forest</t>
  </si>
  <si>
    <t>SMOTE</t>
  </si>
  <si>
    <t>alighting estimation algorithm</t>
  </si>
  <si>
    <t>Gradient Boost decision tree</t>
  </si>
  <si>
    <t>Logistic regression model</t>
  </si>
  <si>
    <t>Lorenz curves</t>
  </si>
  <si>
    <t>Gini</t>
  </si>
  <si>
    <t>Suits coefficients</t>
  </si>
  <si>
    <t>OLS</t>
  </si>
  <si>
    <t>Spatial log model</t>
  </si>
  <si>
    <t>regression analysis</t>
  </si>
  <si>
    <t>time series analysis</t>
  </si>
  <si>
    <t>Time Series Analysis</t>
  </si>
  <si>
    <t>Spectral Clustering</t>
  </si>
  <si>
    <t>RNN</t>
  </si>
  <si>
    <t>XGB</t>
  </si>
  <si>
    <t>SHAP</t>
  </si>
  <si>
    <t>GMM</t>
  </si>
  <si>
    <t>HIERARCHICHAL AGGLOMERATIVE CLUSTERING</t>
  </si>
  <si>
    <t>non-negative tensor factorization</t>
  </si>
  <si>
    <t>IDW interpolation</t>
  </si>
  <si>
    <t>GWNBR</t>
  </si>
  <si>
    <t>Neural network</t>
  </si>
  <si>
    <t>authors algorithm</t>
  </si>
  <si>
    <t>Historical average time series</t>
  </si>
  <si>
    <t>MLP</t>
  </si>
  <si>
    <t>SVR</t>
  </si>
  <si>
    <t>GBRT</t>
  </si>
  <si>
    <t>Multinominal Logit model</t>
  </si>
  <si>
    <t>Mixed logit model</t>
  </si>
  <si>
    <t>Mixed Logit Model with Correlated Normally Distributed Random Coefficients</t>
  </si>
  <si>
    <t>Lattent Dirichlet Allocation</t>
  </si>
  <si>
    <t>PSTM</t>
  </si>
  <si>
    <t>Inner-PNN-AECM</t>
  </si>
  <si>
    <t>k-means;DBSCAN</t>
  </si>
  <si>
    <t>Clustering based on socioeconomics;Binomial logit model</t>
  </si>
  <si>
    <t>Historical average time series;MLP;SVR;Gradient Boost Regression Trees</t>
  </si>
  <si>
    <t>Gradient Boost decision tree;k-means;Logistic regression</t>
  </si>
  <si>
    <t>Data fusion;Multinomial logit</t>
  </si>
  <si>
    <t>Hamming algorithm;Ward's algorithm;Multinomial logit</t>
  </si>
  <si>
    <t>Agglomerative hierarchical clustering;PCA;Multinomial logit;k-means</t>
  </si>
  <si>
    <t>Random Utility Model;Multinomial logit</t>
  </si>
  <si>
    <t>Generation logit model;Cross-nested Logit model;Multinomial logit</t>
  </si>
  <si>
    <t>Decision Tree diagram;Support vector machine;Multi-task CNN;Naïve Bayes</t>
  </si>
  <si>
    <t>Naïve Bayes;Probability model</t>
  </si>
  <si>
    <t>SHAP;Random Forest;Logistic Regression;XGBoost</t>
  </si>
  <si>
    <t>Local indicators of spatial association clustering;Spatial lag;Spatial error model</t>
  </si>
  <si>
    <t>Lorenz curves;Gini;Suits coefficients;Ordinary least squares;Authors algorithm;Spatial lag</t>
  </si>
  <si>
    <t>XGBoost;SHAP</t>
  </si>
  <si>
    <t>Authors algorithm;Forecasting;trip-chaining algorithm;Anomaly detection</t>
  </si>
  <si>
    <t>trip-chaining algorithm</t>
  </si>
  <si>
    <t>trip-chaining algorithm;Descriptive statistics</t>
  </si>
  <si>
    <t>trip-chaining algorithm;Clustering</t>
  </si>
  <si>
    <t>Stochastic modeling;Clustering</t>
  </si>
  <si>
    <t>Stochastic modeling;OD matrix</t>
  </si>
  <si>
    <t>Optimization</t>
  </si>
  <si>
    <t>Ranking algorithm</t>
  </si>
  <si>
    <t>Feature selection</t>
  </si>
  <si>
    <t>Game theory</t>
  </si>
  <si>
    <t>Forecasting</t>
  </si>
  <si>
    <t>Panel analysis</t>
  </si>
  <si>
    <t>Classifictaion</t>
  </si>
  <si>
    <t>Neural networks</t>
  </si>
  <si>
    <t>Error correction model</t>
  </si>
  <si>
    <t>Stochastic mode</t>
  </si>
  <si>
    <t>Trip choice algorithm</t>
  </si>
  <si>
    <t>Data augmentation</t>
  </si>
  <si>
    <t>Multivariate interpolation</t>
  </si>
  <si>
    <t>Cluster</t>
  </si>
  <si>
    <t>OD matrix;Classification;Classification</t>
  </si>
  <si>
    <t>Clustering;OD matrix</t>
  </si>
  <si>
    <t>Time series analysis;Spectral Clustering</t>
  </si>
  <si>
    <t>Time series analysis;Clustering</t>
  </si>
  <si>
    <t>AVL, Fare and Schedule integration model;Dwell time model;Trip-chaining algorithm;Anomaly detection</t>
  </si>
  <si>
    <t>Trip-chaining algorithm</t>
  </si>
  <si>
    <t>Trip-chaining algorithm;Descriptive statistics</t>
  </si>
  <si>
    <t>Trip-chaining algorithm;Clustering</t>
  </si>
  <si>
    <t>Single-layer perceptron neural networks;Alighting estimation algorithm</t>
  </si>
  <si>
    <t>DBSCAN;Alighting estimation algorithm</t>
  </si>
  <si>
    <t>Neural network;OD matrix;Authors algorithm</t>
  </si>
  <si>
    <t>Lorenz Curves;Gini-Indexes;Descriptive statistics</t>
  </si>
  <si>
    <t>k-means++;Group mobility correlation;Individual correlation</t>
  </si>
  <si>
    <t>k-means++;Multivariate ordinary least square regression;Probability distribution functions</t>
  </si>
  <si>
    <t>Linear regression</t>
  </si>
  <si>
    <t>Mixture distribution</t>
  </si>
  <si>
    <t>Poisson mixture;Mixture of unigrams model</t>
  </si>
  <si>
    <t>Multivariable regression model</t>
  </si>
  <si>
    <t>Non-negative tensor decomposition</t>
  </si>
  <si>
    <t>Non-negative tensor decomposition;Non-negative tensor factorization</t>
  </si>
  <si>
    <t>Direct Ridership Model;Ordinary least squares;Gradient boosting</t>
  </si>
  <si>
    <t>GWR;Ordinary least squares;k-means</t>
  </si>
  <si>
    <t>Ordinary least squares;GWR</t>
  </si>
  <si>
    <t>Route travel time prediction model;Dwell time model;Passenger arrival rate prediction model</t>
  </si>
  <si>
    <t>Regression analysis;Time series analysis;Descriptive statistics</t>
  </si>
  <si>
    <t>Gravity-based model;Regression model</t>
  </si>
  <si>
    <t>Ranking Algorithm;Top-k neighbor;TF-IDF;LDA</t>
  </si>
  <si>
    <t>k-means;Trip choice algorithm;LightGBM;XGBoost;Decision tree;Logistic regression;Random forest;SMOTE</t>
  </si>
  <si>
    <t>Trip reconstruction;DBSCAN</t>
  </si>
  <si>
    <t>Temporal motif enumeration algorithm</t>
  </si>
  <si>
    <t>Ridership prediction model;Rule-based procedure</t>
  </si>
  <si>
    <t>Ordinary least squares;Lagrange Multiplier;Spatial Error</t>
  </si>
  <si>
    <t>LDA;k-means;DBSCAN</t>
  </si>
  <si>
    <t>Dynamic genetic algorithm</t>
  </si>
  <si>
    <t>Self organizing map;Genetic algorithm</t>
  </si>
  <si>
    <t>k-means;Gaussian mixture models</t>
  </si>
  <si>
    <t>Gaussian mixture models;Authors algorithm</t>
  </si>
  <si>
    <t>P-DN;DBSCAN;k-means;Gaussian mixture models</t>
  </si>
  <si>
    <t>Gaussian mixture models</t>
  </si>
  <si>
    <t>EM algorithm;Binary logit</t>
  </si>
  <si>
    <t>10.1016/j.trc.2020.102921</t>
  </si>
  <si>
    <t>West Midlands Combined Authority, UK</t>
  </si>
  <si>
    <t>10.1287/ISRE.2021.1072</t>
  </si>
  <si>
    <t>Cites</t>
  </si>
  <si>
    <t>Bus;Taxi</t>
  </si>
  <si>
    <t>Hadoop;Apache Spark</t>
  </si>
  <si>
    <t>Java;Scala;Apache Spark</t>
  </si>
  <si>
    <t>P182</t>
  </si>
  <si>
    <t>P145</t>
  </si>
  <si>
    <t>P150</t>
  </si>
  <si>
    <t>Methods</t>
  </si>
  <si>
    <t>Techniques</t>
  </si>
  <si>
    <t>Probability techniques;Probability techniques;Regression</t>
  </si>
  <si>
    <t>Probability techniques</t>
  </si>
  <si>
    <t>Clustering;Regression;Probability techniques</t>
  </si>
  <si>
    <t>Regression;Probability techniques</t>
  </si>
  <si>
    <t>Probability techniques;Regression</t>
  </si>
  <si>
    <t>Authors technique;Clustering</t>
  </si>
  <si>
    <t>Authors technique</t>
  </si>
  <si>
    <t>Authors technique;Dimensionality reduction;Probability techniques</t>
  </si>
  <si>
    <t>Regression;Authors technique</t>
  </si>
  <si>
    <t>Authors technique;Regression</t>
  </si>
  <si>
    <t>Authors technique;Forecasting;Trip-chaining algorithm;Anomaly detection</t>
  </si>
  <si>
    <t>Neural networks;OD matrix;Authors technique</t>
  </si>
  <si>
    <t>Authors technique;OD matrix</t>
  </si>
  <si>
    <t>Classification;Authors technique</t>
  </si>
  <si>
    <t>Authors technique;Graph model;Clustering</t>
  </si>
  <si>
    <t>Deep learning;Authors technique</t>
  </si>
  <si>
    <t>Economical model;Economical model;Economical model;Regression;Authors technique;Regression</t>
  </si>
  <si>
    <t>Regression;Natural language processing;Clustering</t>
  </si>
  <si>
    <t>Ranking algorithm;Regression;Natural language processing;Natural language processing</t>
  </si>
  <si>
    <t>Natural language processing</t>
  </si>
  <si>
    <t>Natural language processing;Descriptive statistics</t>
  </si>
  <si>
    <t>Natural language processing;Classification</t>
  </si>
  <si>
    <t>Natural language processing;Clustering;Clustering</t>
  </si>
  <si>
    <t>Probability techniques;Natural language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</si>
</sst>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7"/>
  <sheetViews>
    <sheetView tabSelected="1" topLeftCell="S1" zoomScaleNormal="100" workbookViewId="0">
      <selection activeCell="V2" sqref="V2"/>
    </sheetView>
  </sheetViews>
  <sheetFormatPr baseColWidth="10" defaultColWidth="8.7109375" defaultRowHeight="12.75" x14ac:dyDescent="0.2"/>
  <cols>
    <col min="1" max="1" width="108.140625" bestFit="1" customWidth="1"/>
    <col min="2" max="2" width="36.140625" bestFit="1" customWidth="1"/>
    <col min="3" max="4" width="14.5703125" bestFit="1" customWidth="1"/>
    <col min="5" max="5" width="23.28515625" customWidth="1"/>
    <col min="6" max="6" width="33.7109375" style="1" bestFit="1" customWidth="1"/>
    <col min="7" max="7" width="5.28515625" bestFit="1" customWidth="1"/>
    <col min="8" max="8" width="12.85546875" bestFit="1" customWidth="1"/>
    <col min="9" max="9" width="56.85546875" customWidth="1"/>
    <col min="10" max="10" width="22.7109375" bestFit="1" customWidth="1"/>
    <col min="11" max="11" width="5.28515625" bestFit="1" customWidth="1"/>
    <col min="12" max="12" width="10.140625" bestFit="1" customWidth="1"/>
    <col min="13" max="13" width="45.42578125" bestFit="1" customWidth="1"/>
    <col min="14" max="14" width="11.7109375" bestFit="1" customWidth="1"/>
    <col min="15" max="15" width="12.7109375" bestFit="1" customWidth="1"/>
    <col min="16" max="16" width="14" customWidth="1"/>
    <col min="17" max="17" width="101.28515625" customWidth="1"/>
    <col min="18" max="18" width="15.7109375" bestFit="1" customWidth="1"/>
    <col min="19" max="19" width="20.85546875" customWidth="1"/>
    <col min="20" max="20" width="56.5703125" customWidth="1"/>
    <col min="21" max="21" width="99" customWidth="1"/>
    <col min="22" max="22" width="74.85546875" bestFit="1" customWidth="1"/>
    <col min="23" max="23" width="12.7109375" bestFit="1" customWidth="1"/>
    <col min="24" max="24" width="59.140625" bestFit="1" customWidth="1"/>
    <col min="25" max="25" width="12.7109375" bestFit="1" customWidth="1"/>
    <col min="26" max="26" width="38.7109375" customWidth="1"/>
    <col min="27" max="27" width="86.85546875" customWidth="1"/>
    <col min="28" max="28" width="40.42578125" bestFit="1" customWidth="1"/>
    <col min="29" max="29" width="27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1563</v>
      </c>
      <c r="F1" s="1" t="s">
        <v>4</v>
      </c>
      <c r="G1" t="s">
        <v>5</v>
      </c>
      <c r="H1" t="s">
        <v>1109</v>
      </c>
      <c r="I1" t="s">
        <v>1084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1110</v>
      </c>
      <c r="R1" t="s">
        <v>13</v>
      </c>
      <c r="S1" t="s">
        <v>1111</v>
      </c>
      <c r="T1" t="s">
        <v>1112</v>
      </c>
      <c r="U1" t="s">
        <v>1571</v>
      </c>
      <c r="V1" t="s">
        <v>1570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</row>
    <row r="2" spans="1:29" x14ac:dyDescent="0.2">
      <c r="A2" t="s">
        <v>900</v>
      </c>
      <c r="B2" t="s">
        <v>901</v>
      </c>
      <c r="C2" t="s">
        <v>92</v>
      </c>
      <c r="D2">
        <v>2017</v>
      </c>
      <c r="E2">
        <f>VLOOKUP(default_1!F118,Hoja1!$AD$1:$AE$176,2,FALSE)</f>
        <v>48</v>
      </c>
      <c r="F2" s="1" t="s">
        <v>902</v>
      </c>
      <c r="G2" t="s">
        <v>903</v>
      </c>
      <c r="H2" t="s">
        <v>105</v>
      </c>
      <c r="J2">
        <v>2700000</v>
      </c>
      <c r="K2">
        <v>151</v>
      </c>
      <c r="L2" t="s">
        <v>822</v>
      </c>
      <c r="M2" t="s">
        <v>183</v>
      </c>
      <c r="N2" t="s">
        <v>29</v>
      </c>
      <c r="O2">
        <v>0</v>
      </c>
      <c r="P2">
        <v>0</v>
      </c>
      <c r="Q2" t="s">
        <v>726</v>
      </c>
      <c r="R2">
        <v>0</v>
      </c>
      <c r="S2" t="s">
        <v>149</v>
      </c>
      <c r="T2" t="s">
        <v>1060</v>
      </c>
      <c r="U2" t="s">
        <v>904</v>
      </c>
      <c r="V2" t="s">
        <v>1595</v>
      </c>
      <c r="W2">
        <v>1</v>
      </c>
      <c r="X2" t="s">
        <v>906</v>
      </c>
      <c r="Y2">
        <v>1</v>
      </c>
      <c r="AA2" t="s">
        <v>907</v>
      </c>
      <c r="AB2" t="s">
        <v>908</v>
      </c>
      <c r="AC2" t="s">
        <v>35</v>
      </c>
    </row>
    <row r="3" spans="1:29" x14ac:dyDescent="0.2">
      <c r="A3" t="s">
        <v>591</v>
      </c>
      <c r="B3" t="s">
        <v>331</v>
      </c>
      <c r="C3" t="s">
        <v>199</v>
      </c>
      <c r="D3">
        <v>2020</v>
      </c>
      <c r="E3">
        <f>VLOOKUP(default_1!F71,Hoja1!$AD$1:$AE$176,2,FALSE)</f>
        <v>6</v>
      </c>
      <c r="F3" s="1" t="s">
        <v>592</v>
      </c>
      <c r="G3" t="s">
        <v>593</v>
      </c>
      <c r="H3" t="s">
        <v>105</v>
      </c>
      <c r="J3">
        <v>330000000</v>
      </c>
      <c r="K3">
        <v>122</v>
      </c>
      <c r="L3" t="s">
        <v>401</v>
      </c>
      <c r="M3" t="s">
        <v>127</v>
      </c>
      <c r="N3" t="s">
        <v>29</v>
      </c>
      <c r="O3">
        <v>0</v>
      </c>
      <c r="P3">
        <v>1</v>
      </c>
      <c r="Q3" t="s">
        <v>594</v>
      </c>
      <c r="R3">
        <v>0</v>
      </c>
      <c r="S3" t="s">
        <v>30</v>
      </c>
      <c r="T3" t="s">
        <v>1060</v>
      </c>
      <c r="U3" t="s">
        <v>595</v>
      </c>
      <c r="V3" t="s">
        <v>596</v>
      </c>
      <c r="W3">
        <v>0</v>
      </c>
      <c r="Y3">
        <v>1</v>
      </c>
      <c r="Z3" t="s">
        <v>597</v>
      </c>
      <c r="AA3" t="s">
        <v>598</v>
      </c>
      <c r="AB3" t="s">
        <v>405</v>
      </c>
      <c r="AC3" t="s">
        <v>89</v>
      </c>
    </row>
    <row r="4" spans="1:29" x14ac:dyDescent="0.2">
      <c r="A4" t="s">
        <v>696</v>
      </c>
      <c r="B4" t="s">
        <v>102</v>
      </c>
      <c r="C4" t="s">
        <v>49</v>
      </c>
      <c r="D4">
        <v>2020</v>
      </c>
      <c r="E4">
        <f>VLOOKUP(default_1!F86,Hoja1!$AD$1:$AE$176,2,FALSE)</f>
        <v>2</v>
      </c>
      <c r="F4" s="1" t="s">
        <v>697</v>
      </c>
      <c r="G4" t="s">
        <v>698</v>
      </c>
      <c r="H4" t="s">
        <v>26</v>
      </c>
      <c r="I4" t="s">
        <v>1087</v>
      </c>
      <c r="J4">
        <v>2720000</v>
      </c>
      <c r="L4" t="s">
        <v>401</v>
      </c>
      <c r="M4" t="s">
        <v>1271</v>
      </c>
      <c r="N4" t="s">
        <v>67</v>
      </c>
      <c r="O4">
        <v>0</v>
      </c>
      <c r="P4">
        <v>0</v>
      </c>
      <c r="Q4" t="s">
        <v>588</v>
      </c>
      <c r="R4">
        <v>0</v>
      </c>
      <c r="S4" t="s">
        <v>30</v>
      </c>
      <c r="T4" t="s">
        <v>1058</v>
      </c>
      <c r="U4" t="s">
        <v>699</v>
      </c>
      <c r="V4" t="s">
        <v>193</v>
      </c>
      <c r="W4">
        <v>0</v>
      </c>
      <c r="Y4">
        <v>1</v>
      </c>
      <c r="AA4" t="s">
        <v>420</v>
      </c>
      <c r="AB4" t="s">
        <v>405</v>
      </c>
      <c r="AC4" t="s">
        <v>122</v>
      </c>
    </row>
    <row r="5" spans="1:29" x14ac:dyDescent="0.2">
      <c r="A5" t="s">
        <v>487</v>
      </c>
      <c r="B5" t="s">
        <v>488</v>
      </c>
      <c r="C5" t="s">
        <v>489</v>
      </c>
      <c r="D5">
        <v>2021</v>
      </c>
      <c r="E5">
        <f>VLOOKUP(default_1!F57,Hoja1!$AD$1:$AE$176,2,FALSE)</f>
        <v>23</v>
      </c>
      <c r="F5" s="1" t="s">
        <v>490</v>
      </c>
      <c r="G5" t="s">
        <v>491</v>
      </c>
      <c r="H5" t="s">
        <v>400</v>
      </c>
      <c r="J5">
        <v>9008709</v>
      </c>
      <c r="K5">
        <v>455</v>
      </c>
      <c r="L5" t="s">
        <v>492</v>
      </c>
      <c r="M5" t="s">
        <v>493</v>
      </c>
      <c r="N5" t="s">
        <v>29</v>
      </c>
      <c r="O5">
        <v>1</v>
      </c>
      <c r="P5">
        <v>1</v>
      </c>
      <c r="R5">
        <v>0</v>
      </c>
      <c r="S5" t="s">
        <v>118</v>
      </c>
      <c r="T5" t="s">
        <v>1061</v>
      </c>
      <c r="U5" t="s">
        <v>494</v>
      </c>
      <c r="V5" t="s">
        <v>32</v>
      </c>
      <c r="W5">
        <v>1</v>
      </c>
      <c r="X5" t="s">
        <v>495</v>
      </c>
      <c r="Y5">
        <v>0</v>
      </c>
      <c r="AA5" t="s">
        <v>496</v>
      </c>
      <c r="AC5" t="s">
        <v>35</v>
      </c>
    </row>
    <row r="6" spans="1:29" x14ac:dyDescent="0.2">
      <c r="A6" t="s">
        <v>998</v>
      </c>
      <c r="B6" t="s">
        <v>170</v>
      </c>
      <c r="C6" t="s">
        <v>144</v>
      </c>
      <c r="D6">
        <v>2015</v>
      </c>
      <c r="E6">
        <f>VLOOKUP(default_1!F134,Hoja1!$AD$1:$AE$176,2,FALSE)</f>
        <v>2</v>
      </c>
      <c r="F6" s="1" t="s">
        <v>999</v>
      </c>
      <c r="G6" t="s">
        <v>1000</v>
      </c>
      <c r="H6" t="s">
        <v>26</v>
      </c>
      <c r="I6" t="s">
        <v>1101</v>
      </c>
      <c r="J6">
        <v>34800000</v>
      </c>
      <c r="K6">
        <v>122</v>
      </c>
      <c r="L6" t="s">
        <v>866</v>
      </c>
      <c r="M6" t="s">
        <v>485</v>
      </c>
      <c r="N6" t="s">
        <v>29</v>
      </c>
      <c r="O6">
        <v>1</v>
      </c>
      <c r="P6">
        <v>1</v>
      </c>
      <c r="R6">
        <v>0</v>
      </c>
      <c r="S6" t="s">
        <v>30</v>
      </c>
      <c r="T6" t="s">
        <v>1060</v>
      </c>
      <c r="U6" t="s">
        <v>1001</v>
      </c>
      <c r="V6" t="s">
        <v>32</v>
      </c>
      <c r="W6">
        <v>1</v>
      </c>
      <c r="X6" t="s">
        <v>228</v>
      </c>
      <c r="Y6">
        <v>0</v>
      </c>
      <c r="AA6" t="s">
        <v>111</v>
      </c>
      <c r="AC6" t="s">
        <v>35</v>
      </c>
    </row>
    <row r="7" spans="1:29" x14ac:dyDescent="0.2">
      <c r="A7" t="s">
        <v>544</v>
      </c>
      <c r="B7" t="s">
        <v>114</v>
      </c>
      <c r="C7" t="s">
        <v>545</v>
      </c>
      <c r="D7">
        <v>2020</v>
      </c>
      <c r="E7">
        <f>VLOOKUP(default_1!F64,Hoja1!$AD$1:$AE$176,2,FALSE)</f>
        <v>14</v>
      </c>
      <c r="F7" s="1" t="s">
        <v>546</v>
      </c>
      <c r="G7" t="s">
        <v>547</v>
      </c>
      <c r="H7" t="s">
        <v>26</v>
      </c>
      <c r="I7" t="s">
        <v>1087</v>
      </c>
      <c r="J7">
        <v>120000000</v>
      </c>
      <c r="K7">
        <v>8</v>
      </c>
      <c r="L7" t="s">
        <v>53</v>
      </c>
      <c r="M7" t="s">
        <v>28</v>
      </c>
      <c r="N7" t="s">
        <v>29</v>
      </c>
      <c r="O7">
        <v>0</v>
      </c>
      <c r="P7">
        <v>0</v>
      </c>
      <c r="Q7" t="s">
        <v>438</v>
      </c>
      <c r="R7">
        <v>0</v>
      </c>
      <c r="S7" t="s">
        <v>108</v>
      </c>
      <c r="T7" t="s">
        <v>1062</v>
      </c>
      <c r="U7" t="s">
        <v>1545</v>
      </c>
      <c r="V7" t="s">
        <v>468</v>
      </c>
      <c r="W7">
        <v>0</v>
      </c>
      <c r="Y7">
        <v>1</v>
      </c>
      <c r="Z7" t="s">
        <v>548</v>
      </c>
      <c r="AA7" t="s">
        <v>549</v>
      </c>
      <c r="AC7" t="s">
        <v>35</v>
      </c>
    </row>
    <row r="8" spans="1:29" x14ac:dyDescent="0.2">
      <c r="A8" t="s">
        <v>61</v>
      </c>
      <c r="B8" t="s">
        <v>62</v>
      </c>
      <c r="C8" t="s">
        <v>63</v>
      </c>
      <c r="D8">
        <v>2023</v>
      </c>
      <c r="E8">
        <f>VLOOKUP(default_1!F40,Hoja1!$AD$1:$AE$176,2,FALSE)</f>
        <v>4</v>
      </c>
      <c r="F8" s="1" t="s">
        <v>64</v>
      </c>
      <c r="G8" t="s">
        <v>65</v>
      </c>
      <c r="H8" t="s">
        <v>26</v>
      </c>
      <c r="I8" t="s">
        <v>1091</v>
      </c>
      <c r="J8">
        <v>1000000</v>
      </c>
      <c r="K8">
        <v>30</v>
      </c>
      <c r="L8" t="s">
        <v>41</v>
      </c>
      <c r="M8" t="s">
        <v>66</v>
      </c>
      <c r="N8" t="s">
        <v>67</v>
      </c>
      <c r="O8">
        <v>0</v>
      </c>
      <c r="P8">
        <v>0</v>
      </c>
      <c r="Q8" t="s">
        <v>68</v>
      </c>
      <c r="R8">
        <v>0</v>
      </c>
      <c r="S8" t="s">
        <v>69</v>
      </c>
      <c r="T8" t="s">
        <v>1071</v>
      </c>
      <c r="U8" t="s">
        <v>1496</v>
      </c>
      <c r="V8" t="s">
        <v>70</v>
      </c>
      <c r="W8">
        <v>0</v>
      </c>
      <c r="Y8">
        <v>1</v>
      </c>
      <c r="Z8" t="s">
        <v>71</v>
      </c>
      <c r="AA8" t="s">
        <v>72</v>
      </c>
      <c r="AC8" t="s">
        <v>35</v>
      </c>
    </row>
    <row r="9" spans="1:29" x14ac:dyDescent="0.2">
      <c r="A9" t="s">
        <v>81</v>
      </c>
      <c r="B9" t="s">
        <v>37</v>
      </c>
      <c r="C9" t="s">
        <v>75</v>
      </c>
      <c r="D9">
        <v>2022</v>
      </c>
      <c r="E9">
        <f>VLOOKUP(default_1!F7,Hoja1!$AD$1:$AE$176,2,FALSE)</f>
        <v>13</v>
      </c>
      <c r="F9" s="1" t="s">
        <v>82</v>
      </c>
      <c r="G9" t="s">
        <v>83</v>
      </c>
      <c r="H9" t="s">
        <v>26</v>
      </c>
      <c r="I9" t="s">
        <v>1087</v>
      </c>
      <c r="J9">
        <v>80000000</v>
      </c>
      <c r="K9">
        <v>4</v>
      </c>
      <c r="L9" t="s">
        <v>53</v>
      </c>
      <c r="M9" t="s">
        <v>84</v>
      </c>
      <c r="N9" t="s">
        <v>67</v>
      </c>
      <c r="O9">
        <v>0</v>
      </c>
      <c r="P9">
        <v>0</v>
      </c>
      <c r="Q9" t="s">
        <v>85</v>
      </c>
      <c r="R9">
        <v>0</v>
      </c>
      <c r="S9" t="s">
        <v>30</v>
      </c>
      <c r="T9" t="s">
        <v>1060</v>
      </c>
      <c r="U9" t="s">
        <v>86</v>
      </c>
      <c r="V9" t="s">
        <v>1504</v>
      </c>
      <c r="W9">
        <v>0</v>
      </c>
      <c r="Y9">
        <v>1</v>
      </c>
      <c r="Z9" t="s">
        <v>87</v>
      </c>
      <c r="AA9" t="s">
        <v>88</v>
      </c>
      <c r="AC9" t="s">
        <v>89</v>
      </c>
    </row>
    <row r="10" spans="1:29" x14ac:dyDescent="0.2">
      <c r="A10" t="s">
        <v>101</v>
      </c>
      <c r="B10" t="s">
        <v>102</v>
      </c>
      <c r="C10" t="s">
        <v>75</v>
      </c>
      <c r="D10">
        <v>2022</v>
      </c>
      <c r="E10">
        <f>VLOOKUP(default_1!F9,Hoja1!$AD$1:$AE$176,2,FALSE)</f>
        <v>2</v>
      </c>
      <c r="F10" s="1" t="s">
        <v>103</v>
      </c>
      <c r="G10" t="s">
        <v>104</v>
      </c>
      <c r="H10" t="s">
        <v>105</v>
      </c>
      <c r="J10">
        <v>9663319</v>
      </c>
      <c r="K10">
        <v>30</v>
      </c>
      <c r="L10" t="s">
        <v>41</v>
      </c>
      <c r="M10" t="s">
        <v>106</v>
      </c>
      <c r="N10" t="s">
        <v>29</v>
      </c>
      <c r="O10">
        <v>0</v>
      </c>
      <c r="P10">
        <v>1</v>
      </c>
      <c r="Q10" t="s">
        <v>107</v>
      </c>
      <c r="R10">
        <v>0</v>
      </c>
      <c r="S10" t="s">
        <v>149</v>
      </c>
      <c r="T10" t="s">
        <v>112</v>
      </c>
      <c r="U10" t="s">
        <v>109</v>
      </c>
      <c r="V10" t="s">
        <v>110</v>
      </c>
      <c r="W10">
        <v>0</v>
      </c>
      <c r="Y10">
        <v>1</v>
      </c>
      <c r="AA10" t="s">
        <v>111</v>
      </c>
      <c r="AC10" t="s">
        <v>112</v>
      </c>
    </row>
    <row r="11" spans="1:29" x14ac:dyDescent="0.2">
      <c r="A11" t="s">
        <v>142</v>
      </c>
      <c r="B11" t="s">
        <v>143</v>
      </c>
      <c r="C11" t="s">
        <v>144</v>
      </c>
      <c r="D11">
        <v>2022</v>
      </c>
      <c r="E11">
        <f>VLOOKUP(default_1!F13,Hoja1!$AD$1:$AE$176,2,FALSE)</f>
        <v>11</v>
      </c>
      <c r="F11" s="1" t="s">
        <v>145</v>
      </c>
      <c r="G11" t="s">
        <v>146</v>
      </c>
      <c r="H11" t="s">
        <v>147</v>
      </c>
      <c r="J11">
        <v>715375</v>
      </c>
      <c r="K11">
        <v>31</v>
      </c>
      <c r="L11" t="s">
        <v>41</v>
      </c>
      <c r="M11" t="s">
        <v>148</v>
      </c>
      <c r="N11" t="s">
        <v>29</v>
      </c>
      <c r="O11">
        <v>1</v>
      </c>
      <c r="P11">
        <v>1</v>
      </c>
      <c r="R11">
        <v>0</v>
      </c>
      <c r="S11" t="s">
        <v>149</v>
      </c>
      <c r="T11" t="s">
        <v>1060</v>
      </c>
      <c r="U11" t="s">
        <v>150</v>
      </c>
      <c r="V11" t="s">
        <v>151</v>
      </c>
      <c r="W11">
        <v>0</v>
      </c>
      <c r="Y11">
        <v>1</v>
      </c>
      <c r="AA11" t="s">
        <v>152</v>
      </c>
      <c r="AB11" t="s">
        <v>141</v>
      </c>
      <c r="AC11" t="s">
        <v>35</v>
      </c>
    </row>
    <row r="12" spans="1:29" x14ac:dyDescent="0.2">
      <c r="A12" t="s">
        <v>231</v>
      </c>
      <c r="B12" t="s">
        <v>232</v>
      </c>
      <c r="C12" t="s">
        <v>63</v>
      </c>
      <c r="D12">
        <v>2022</v>
      </c>
      <c r="E12">
        <f>VLOOKUP(default_1!F23,Hoja1!$AD$1:$AE$176,2,FALSE)</f>
        <v>14</v>
      </c>
      <c r="F12" s="1" t="s">
        <v>233</v>
      </c>
      <c r="G12" t="s">
        <v>234</v>
      </c>
      <c r="H12" t="s">
        <v>105</v>
      </c>
      <c r="K12">
        <v>73</v>
      </c>
      <c r="L12" t="s">
        <v>27</v>
      </c>
      <c r="M12" t="s">
        <v>28</v>
      </c>
      <c r="N12" t="s">
        <v>29</v>
      </c>
      <c r="O12">
        <v>1</v>
      </c>
      <c r="P12">
        <v>1</v>
      </c>
      <c r="R12">
        <v>0</v>
      </c>
      <c r="S12" t="s">
        <v>149</v>
      </c>
      <c r="T12" t="s">
        <v>1064</v>
      </c>
      <c r="U12" t="s">
        <v>235</v>
      </c>
      <c r="V12" t="s">
        <v>193</v>
      </c>
      <c r="W12">
        <v>1</v>
      </c>
      <c r="X12" t="s">
        <v>236</v>
      </c>
      <c r="Y12">
        <v>1</v>
      </c>
      <c r="AA12" t="s">
        <v>237</v>
      </c>
      <c r="AB12" t="s">
        <v>238</v>
      </c>
      <c r="AC12" t="s">
        <v>35</v>
      </c>
    </row>
    <row r="13" spans="1:29" x14ac:dyDescent="0.2">
      <c r="A13" t="s">
        <v>519</v>
      </c>
      <c r="B13" t="s">
        <v>520</v>
      </c>
      <c r="C13" t="s">
        <v>521</v>
      </c>
      <c r="D13">
        <v>2020</v>
      </c>
      <c r="E13">
        <f>VLOOKUP(default_1!F61,Hoja1!$AD$1:$AE$176,2,FALSE)</f>
        <v>2</v>
      </c>
      <c r="F13" s="1" t="s">
        <v>522</v>
      </c>
      <c r="G13" t="s">
        <v>523</v>
      </c>
      <c r="H13" t="s">
        <v>26</v>
      </c>
      <c r="I13" t="s">
        <v>1087</v>
      </c>
      <c r="J13">
        <v>3650000000</v>
      </c>
      <c r="K13">
        <v>365</v>
      </c>
      <c r="L13" t="s">
        <v>135</v>
      </c>
      <c r="M13" t="s">
        <v>28</v>
      </c>
      <c r="N13" t="s">
        <v>29</v>
      </c>
      <c r="O13">
        <v>0</v>
      </c>
      <c r="P13">
        <v>0</v>
      </c>
      <c r="Q13" t="s">
        <v>524</v>
      </c>
      <c r="R13">
        <v>0</v>
      </c>
      <c r="S13" t="s">
        <v>118</v>
      </c>
      <c r="T13" t="s">
        <v>687</v>
      </c>
      <c r="U13" t="s">
        <v>525</v>
      </c>
      <c r="V13" t="s">
        <v>58</v>
      </c>
      <c r="W13">
        <v>0</v>
      </c>
      <c r="Y13">
        <v>0</v>
      </c>
      <c r="Z13" t="s">
        <v>526</v>
      </c>
      <c r="AA13" t="s">
        <v>527</v>
      </c>
      <c r="AC13" t="s">
        <v>35</v>
      </c>
    </row>
    <row r="14" spans="1:29" x14ac:dyDescent="0.2">
      <c r="A14" t="s">
        <v>882</v>
      </c>
      <c r="B14" t="s">
        <v>883</v>
      </c>
      <c r="D14">
        <v>2018</v>
      </c>
      <c r="E14">
        <f>VLOOKUP(default_1!F115,Hoja1!$AD$1:$AE$176,2,FALSE)</f>
        <v>1</v>
      </c>
      <c r="F14" s="1" t="s">
        <v>884</v>
      </c>
      <c r="G14" t="s">
        <v>885</v>
      </c>
      <c r="H14" t="s">
        <v>147</v>
      </c>
      <c r="J14">
        <v>10658558</v>
      </c>
      <c r="K14">
        <v>7</v>
      </c>
      <c r="L14" t="s">
        <v>53</v>
      </c>
      <c r="M14" t="s">
        <v>326</v>
      </c>
      <c r="N14" t="s">
        <v>158</v>
      </c>
      <c r="O14">
        <v>1</v>
      </c>
      <c r="P14">
        <v>1</v>
      </c>
      <c r="R14">
        <v>0</v>
      </c>
      <c r="S14" t="s">
        <v>149</v>
      </c>
      <c r="T14" t="s">
        <v>1060</v>
      </c>
      <c r="U14" t="s">
        <v>886</v>
      </c>
      <c r="V14" t="s">
        <v>887</v>
      </c>
      <c r="W14">
        <v>0</v>
      </c>
      <c r="Y14">
        <v>1</v>
      </c>
      <c r="AA14" t="s">
        <v>888</v>
      </c>
      <c r="AB14" t="s">
        <v>889</v>
      </c>
      <c r="AC14" t="s">
        <v>35</v>
      </c>
    </row>
    <row r="15" spans="1:29" x14ac:dyDescent="0.2">
      <c r="A15" t="s">
        <v>914</v>
      </c>
      <c r="B15" t="s">
        <v>170</v>
      </c>
      <c r="C15" t="s">
        <v>63</v>
      </c>
      <c r="D15">
        <v>2017</v>
      </c>
      <c r="E15">
        <f>VLOOKUP(default_1!F120,Hoja1!$AD$1:$AE$176,2,FALSE)</f>
        <v>2</v>
      </c>
      <c r="F15" s="1" t="s">
        <v>915</v>
      </c>
      <c r="G15" t="s">
        <v>916</v>
      </c>
      <c r="H15" t="s">
        <v>147</v>
      </c>
      <c r="J15">
        <v>3492310</v>
      </c>
      <c r="K15">
        <v>140</v>
      </c>
      <c r="L15" t="s">
        <v>917</v>
      </c>
      <c r="M15" t="s">
        <v>918</v>
      </c>
      <c r="N15" t="s">
        <v>158</v>
      </c>
      <c r="O15">
        <v>1</v>
      </c>
      <c r="P15">
        <v>1</v>
      </c>
      <c r="R15">
        <v>0</v>
      </c>
      <c r="S15" t="s">
        <v>30</v>
      </c>
      <c r="T15" t="s">
        <v>1060</v>
      </c>
      <c r="U15" t="s">
        <v>1558</v>
      </c>
      <c r="V15" t="s">
        <v>30</v>
      </c>
      <c r="W15">
        <v>0</v>
      </c>
      <c r="Y15">
        <v>0</v>
      </c>
      <c r="Z15" t="s">
        <v>920</v>
      </c>
      <c r="AA15" t="s">
        <v>921</v>
      </c>
      <c r="AC15" t="s">
        <v>35</v>
      </c>
    </row>
    <row r="16" spans="1:29" x14ac:dyDescent="0.2">
      <c r="A16" t="s">
        <v>846</v>
      </c>
      <c r="B16" t="s">
        <v>847</v>
      </c>
      <c r="C16" t="s">
        <v>848</v>
      </c>
      <c r="D16">
        <v>2018</v>
      </c>
      <c r="E16">
        <f>VLOOKUP(default_1!F33,Hoja1!$AD$1:$AE$176,2,FALSE)</f>
        <v>0</v>
      </c>
      <c r="F16" s="1" t="s">
        <v>849</v>
      </c>
      <c r="G16" t="s">
        <v>850</v>
      </c>
      <c r="H16" t="s">
        <v>105</v>
      </c>
      <c r="J16">
        <v>256000000</v>
      </c>
      <c r="K16">
        <v>91</v>
      </c>
      <c r="L16" t="s">
        <v>210</v>
      </c>
      <c r="M16" t="s">
        <v>851</v>
      </c>
      <c r="N16" t="s">
        <v>29</v>
      </c>
      <c r="O16">
        <v>0</v>
      </c>
      <c r="P16">
        <v>1</v>
      </c>
      <c r="Q16" t="s">
        <v>852</v>
      </c>
      <c r="R16">
        <v>0</v>
      </c>
      <c r="S16" t="s">
        <v>816</v>
      </c>
      <c r="T16" t="s">
        <v>1069</v>
      </c>
      <c r="U16" t="s">
        <v>853</v>
      </c>
      <c r="V16" t="s">
        <v>854</v>
      </c>
      <c r="W16">
        <v>0</v>
      </c>
      <c r="Y16">
        <v>0</v>
      </c>
      <c r="AA16" t="s">
        <v>855</v>
      </c>
      <c r="AC16" t="s">
        <v>35</v>
      </c>
    </row>
    <row r="17" spans="1:29" x14ac:dyDescent="0.2">
      <c r="A17" t="s">
        <v>813</v>
      </c>
      <c r="B17" t="s">
        <v>498</v>
      </c>
      <c r="D17">
        <v>2019</v>
      </c>
      <c r="E17">
        <f>VLOOKUP(default_1!F29,Hoja1!$AD$1:$AE$176,2,FALSE)</f>
        <v>4</v>
      </c>
      <c r="F17" s="1" t="s">
        <v>814</v>
      </c>
      <c r="G17" t="s">
        <v>815</v>
      </c>
      <c r="H17" t="s">
        <v>105</v>
      </c>
      <c r="J17">
        <v>1197147</v>
      </c>
      <c r="K17">
        <v>1</v>
      </c>
      <c r="L17" t="s">
        <v>53</v>
      </c>
      <c r="M17" t="s">
        <v>54</v>
      </c>
      <c r="N17" t="s">
        <v>29</v>
      </c>
      <c r="O17">
        <v>1</v>
      </c>
      <c r="P17">
        <v>1</v>
      </c>
      <c r="R17">
        <v>0</v>
      </c>
      <c r="S17" t="s">
        <v>816</v>
      </c>
      <c r="T17" t="s">
        <v>1065</v>
      </c>
      <c r="U17" t="s">
        <v>817</v>
      </c>
      <c r="V17" t="s">
        <v>79</v>
      </c>
      <c r="W17">
        <v>0</v>
      </c>
      <c r="Y17">
        <v>1</v>
      </c>
      <c r="Z17" t="s">
        <v>818</v>
      </c>
      <c r="AC17" t="s">
        <v>35</v>
      </c>
    </row>
    <row r="18" spans="1:29" x14ac:dyDescent="0.2">
      <c r="A18" t="s">
        <v>351</v>
      </c>
      <c r="B18" t="s">
        <v>154</v>
      </c>
      <c r="C18" t="s">
        <v>92</v>
      </c>
      <c r="D18">
        <v>2021</v>
      </c>
      <c r="E18">
        <f>VLOOKUP(default_1!F38,Hoja1!$AD$1:$AE$176,2,FALSE)</f>
        <v>4</v>
      </c>
      <c r="F18" s="1" t="s">
        <v>352</v>
      </c>
      <c r="G18" t="s">
        <v>353</v>
      </c>
      <c r="H18" t="s">
        <v>26</v>
      </c>
      <c r="I18" t="s">
        <v>1085</v>
      </c>
      <c r="J18">
        <v>120400</v>
      </c>
      <c r="K18">
        <v>790</v>
      </c>
      <c r="L18" t="s">
        <v>354</v>
      </c>
      <c r="M18" t="s">
        <v>84</v>
      </c>
      <c r="N18" t="s">
        <v>29</v>
      </c>
      <c r="O18">
        <v>1</v>
      </c>
      <c r="P18">
        <v>1</v>
      </c>
      <c r="Q18" t="s">
        <v>355</v>
      </c>
      <c r="R18">
        <v>0</v>
      </c>
      <c r="S18" t="s">
        <v>56</v>
      </c>
      <c r="T18" t="s">
        <v>1070</v>
      </c>
      <c r="U18" t="s">
        <v>356</v>
      </c>
      <c r="V18" t="s">
        <v>357</v>
      </c>
      <c r="W18">
        <v>0</v>
      </c>
      <c r="Y18">
        <v>1</v>
      </c>
      <c r="Z18" t="s">
        <v>358</v>
      </c>
      <c r="AA18" t="s">
        <v>359</v>
      </c>
      <c r="AC18" t="s">
        <v>35</v>
      </c>
    </row>
    <row r="19" spans="1:29" x14ac:dyDescent="0.2">
      <c r="A19" t="s">
        <v>838</v>
      </c>
      <c r="B19" t="s">
        <v>839</v>
      </c>
      <c r="C19" t="s">
        <v>144</v>
      </c>
      <c r="D19">
        <v>2018</v>
      </c>
      <c r="E19">
        <f>VLOOKUP(default_1!F108,Hoja1!$AD$1:$AE$176,2,FALSE)</f>
        <v>45</v>
      </c>
      <c r="F19" s="1" t="s">
        <v>840</v>
      </c>
      <c r="G19" t="s">
        <v>841</v>
      </c>
      <c r="H19" t="s">
        <v>26</v>
      </c>
      <c r="I19" t="s">
        <v>1105</v>
      </c>
      <c r="J19">
        <v>15000000</v>
      </c>
      <c r="K19">
        <v>31</v>
      </c>
      <c r="L19" t="s">
        <v>401</v>
      </c>
      <c r="M19" t="s">
        <v>485</v>
      </c>
      <c r="N19" t="s">
        <v>29</v>
      </c>
      <c r="O19">
        <v>0</v>
      </c>
      <c r="P19">
        <v>1</v>
      </c>
      <c r="Q19" t="s">
        <v>842</v>
      </c>
      <c r="R19">
        <v>0</v>
      </c>
      <c r="S19" t="s">
        <v>56</v>
      </c>
      <c r="T19" t="s">
        <v>1062</v>
      </c>
      <c r="U19" t="s">
        <v>843</v>
      </c>
      <c r="V19" t="s">
        <v>30</v>
      </c>
      <c r="W19">
        <v>0</v>
      </c>
      <c r="Y19">
        <v>0</v>
      </c>
      <c r="Z19" t="s">
        <v>844</v>
      </c>
      <c r="AA19" t="s">
        <v>845</v>
      </c>
      <c r="AC19" t="s">
        <v>35</v>
      </c>
    </row>
    <row r="20" spans="1:29" x14ac:dyDescent="0.2">
      <c r="A20" t="s">
        <v>712</v>
      </c>
      <c r="B20" t="s">
        <v>37</v>
      </c>
      <c r="C20" t="s">
        <v>124</v>
      </c>
      <c r="D20">
        <v>2019</v>
      </c>
      <c r="E20">
        <f>VLOOKUP(default_1!F89,Hoja1!$AD$1:$AE$176,2,FALSE)</f>
        <v>2</v>
      </c>
      <c r="F20" s="1" t="s">
        <v>713</v>
      </c>
      <c r="G20" t="s">
        <v>714</v>
      </c>
      <c r="H20" t="s">
        <v>26</v>
      </c>
      <c r="I20" t="s">
        <v>1100</v>
      </c>
      <c r="J20">
        <v>108311249</v>
      </c>
      <c r="K20">
        <v>7</v>
      </c>
      <c r="L20" t="s">
        <v>53</v>
      </c>
      <c r="M20" t="s">
        <v>84</v>
      </c>
      <c r="N20" t="s">
        <v>29</v>
      </c>
      <c r="O20">
        <v>0</v>
      </c>
      <c r="P20">
        <v>0</v>
      </c>
      <c r="Q20" t="s">
        <v>715</v>
      </c>
      <c r="R20">
        <v>0</v>
      </c>
      <c r="S20" t="s">
        <v>56</v>
      </c>
      <c r="T20" t="s">
        <v>26</v>
      </c>
      <c r="U20" t="s">
        <v>716</v>
      </c>
      <c r="V20" t="s">
        <v>1578</v>
      </c>
      <c r="W20">
        <v>0</v>
      </c>
      <c r="Y20">
        <v>1</v>
      </c>
      <c r="Z20" t="s">
        <v>716</v>
      </c>
      <c r="AA20" t="s">
        <v>375</v>
      </c>
      <c r="AB20" t="s">
        <v>1082</v>
      </c>
      <c r="AC20" t="s">
        <v>35</v>
      </c>
    </row>
    <row r="21" spans="1:29" x14ac:dyDescent="0.2">
      <c r="A21" t="s">
        <v>421</v>
      </c>
      <c r="B21" t="s">
        <v>170</v>
      </c>
      <c r="C21" t="s">
        <v>199</v>
      </c>
      <c r="D21">
        <v>2021</v>
      </c>
      <c r="E21">
        <f>VLOOKUP(default_1!F47,Hoja1!$AD$1:$AE$176,2,FALSE)</f>
        <v>5</v>
      </c>
      <c r="F21" s="1" t="s">
        <v>422</v>
      </c>
      <c r="G21" t="s">
        <v>423</v>
      </c>
      <c r="H21" t="s">
        <v>26</v>
      </c>
      <c r="I21" t="s">
        <v>1096</v>
      </c>
      <c r="J21">
        <v>107576000</v>
      </c>
      <c r="K21">
        <v>61</v>
      </c>
      <c r="L21" t="s">
        <v>53</v>
      </c>
      <c r="M21" t="s">
        <v>148</v>
      </c>
      <c r="N21" t="s">
        <v>29</v>
      </c>
      <c r="O21">
        <v>1</v>
      </c>
      <c r="P21">
        <v>1</v>
      </c>
      <c r="R21">
        <v>0</v>
      </c>
      <c r="S21" t="s">
        <v>44</v>
      </c>
      <c r="T21" t="s">
        <v>1191</v>
      </c>
      <c r="U21" t="s">
        <v>424</v>
      </c>
      <c r="V21" t="s">
        <v>1520</v>
      </c>
      <c r="W21">
        <v>0</v>
      </c>
      <c r="Y21">
        <v>1</v>
      </c>
      <c r="Z21" t="s">
        <v>426</v>
      </c>
      <c r="AA21" t="s">
        <v>427</v>
      </c>
      <c r="AC21" t="s">
        <v>35</v>
      </c>
    </row>
    <row r="22" spans="1:29" x14ac:dyDescent="0.2">
      <c r="A22" t="s">
        <v>406</v>
      </c>
      <c r="B22" t="s">
        <v>91</v>
      </c>
      <c r="C22" t="s">
        <v>199</v>
      </c>
      <c r="D22">
        <v>2021</v>
      </c>
      <c r="E22">
        <f>VLOOKUP(default_1!F45,Hoja1!$AD$1:$AE$176,2,FALSE)</f>
        <v>7</v>
      </c>
      <c r="F22" s="1" t="s">
        <v>407</v>
      </c>
      <c r="G22" t="s">
        <v>408</v>
      </c>
      <c r="H22" t="s">
        <v>147</v>
      </c>
      <c r="J22">
        <v>9300000</v>
      </c>
      <c r="K22">
        <v>3012</v>
      </c>
      <c r="L22" t="s">
        <v>409</v>
      </c>
      <c r="M22" t="s">
        <v>410</v>
      </c>
      <c r="N22" t="s">
        <v>158</v>
      </c>
      <c r="O22">
        <v>0</v>
      </c>
      <c r="P22">
        <v>0</v>
      </c>
      <c r="Q22" t="s">
        <v>411</v>
      </c>
      <c r="R22">
        <v>0</v>
      </c>
      <c r="S22" t="s">
        <v>56</v>
      </c>
      <c r="T22" t="s">
        <v>1074</v>
      </c>
      <c r="U22" t="s">
        <v>412</v>
      </c>
      <c r="V22" t="s">
        <v>413</v>
      </c>
      <c r="W22">
        <v>0</v>
      </c>
      <c r="Y22">
        <v>0</v>
      </c>
      <c r="AA22" t="s">
        <v>140</v>
      </c>
      <c r="AB22" t="s">
        <v>405</v>
      </c>
      <c r="AC22" t="s">
        <v>35</v>
      </c>
    </row>
    <row r="23" spans="1:29" x14ac:dyDescent="0.2">
      <c r="A23" t="s">
        <v>767</v>
      </c>
      <c r="B23" t="s">
        <v>102</v>
      </c>
      <c r="C23" t="s">
        <v>38</v>
      </c>
      <c r="D23">
        <v>2019</v>
      </c>
      <c r="E23">
        <f>VLOOKUP(default_1!F97,Hoja1!$AD$1:$AE$176,2,FALSE)</f>
        <v>12</v>
      </c>
      <c r="F23" s="1" t="s">
        <v>768</v>
      </c>
      <c r="G23" t="s">
        <v>769</v>
      </c>
      <c r="H23" t="s">
        <v>26</v>
      </c>
      <c r="I23" t="s">
        <v>1103</v>
      </c>
      <c r="J23">
        <v>189963</v>
      </c>
      <c r="K23">
        <v>31</v>
      </c>
      <c r="L23" t="s">
        <v>401</v>
      </c>
      <c r="M23" t="s">
        <v>485</v>
      </c>
      <c r="N23" t="s">
        <v>29</v>
      </c>
      <c r="O23">
        <v>0</v>
      </c>
      <c r="P23">
        <v>1</v>
      </c>
      <c r="Q23" t="s">
        <v>770</v>
      </c>
      <c r="R23">
        <v>0</v>
      </c>
      <c r="S23" t="s">
        <v>283</v>
      </c>
      <c r="T23" t="s">
        <v>1066</v>
      </c>
      <c r="U23" t="s">
        <v>771</v>
      </c>
      <c r="V23" t="s">
        <v>1572</v>
      </c>
      <c r="W23">
        <v>0</v>
      </c>
      <c r="Y23">
        <v>1</v>
      </c>
      <c r="AA23" t="s">
        <v>773</v>
      </c>
      <c r="AB23" t="s">
        <v>774</v>
      </c>
      <c r="AC23" t="s">
        <v>35</v>
      </c>
    </row>
    <row r="24" spans="1:29" x14ac:dyDescent="0.2">
      <c r="A24" t="s">
        <v>556</v>
      </c>
      <c r="B24" t="s">
        <v>35</v>
      </c>
      <c r="C24" t="s">
        <v>75</v>
      </c>
      <c r="D24">
        <v>2020</v>
      </c>
      <c r="E24">
        <f>VLOOKUP(default_1!F66,Hoja1!$AD$1:$AE$176,2,FALSE)</f>
        <v>7</v>
      </c>
      <c r="F24" s="1" t="s">
        <v>557</v>
      </c>
      <c r="G24" t="s">
        <v>558</v>
      </c>
      <c r="H24" t="s">
        <v>400</v>
      </c>
      <c r="J24">
        <v>44080649</v>
      </c>
      <c r="K24">
        <v>7</v>
      </c>
      <c r="L24" t="s">
        <v>95</v>
      </c>
      <c r="M24" t="s">
        <v>28</v>
      </c>
      <c r="N24" t="s">
        <v>29</v>
      </c>
      <c r="O24">
        <v>1</v>
      </c>
      <c r="P24">
        <v>1</v>
      </c>
      <c r="R24">
        <v>0</v>
      </c>
      <c r="S24" t="s">
        <v>283</v>
      </c>
      <c r="T24" t="s">
        <v>1066</v>
      </c>
      <c r="U24" t="s">
        <v>559</v>
      </c>
      <c r="V24" t="s">
        <v>560</v>
      </c>
      <c r="W24">
        <v>0</v>
      </c>
      <c r="Y24">
        <v>1</v>
      </c>
      <c r="Z24" t="s">
        <v>561</v>
      </c>
      <c r="AA24" t="s">
        <v>496</v>
      </c>
      <c r="AC24" t="s">
        <v>35</v>
      </c>
    </row>
    <row r="25" spans="1:29" x14ac:dyDescent="0.2">
      <c r="A25" t="s">
        <v>476</v>
      </c>
      <c r="B25" t="s">
        <v>198</v>
      </c>
      <c r="C25" t="s">
        <v>224</v>
      </c>
      <c r="D25">
        <v>2021</v>
      </c>
      <c r="E25">
        <f>VLOOKUP(default_1!F55,Hoja1!$AD$1:$AE$176,2,FALSE)</f>
        <v>5</v>
      </c>
      <c r="F25" s="1" t="s">
        <v>477</v>
      </c>
      <c r="G25" t="s">
        <v>478</v>
      </c>
      <c r="H25" t="s">
        <v>400</v>
      </c>
      <c r="J25">
        <v>272000000</v>
      </c>
      <c r="K25">
        <v>91</v>
      </c>
      <c r="L25" t="s">
        <v>190</v>
      </c>
      <c r="M25" t="s">
        <v>479</v>
      </c>
      <c r="N25" t="s">
        <v>29</v>
      </c>
      <c r="O25">
        <v>0</v>
      </c>
      <c r="P25">
        <v>0</v>
      </c>
      <c r="Q25" t="s">
        <v>480</v>
      </c>
      <c r="R25">
        <v>0</v>
      </c>
      <c r="S25" t="s">
        <v>118</v>
      </c>
      <c r="T25" t="s">
        <v>1068</v>
      </c>
      <c r="U25" t="s">
        <v>481</v>
      </c>
      <c r="V25" t="s">
        <v>481</v>
      </c>
      <c r="W25">
        <v>0</v>
      </c>
      <c r="Y25">
        <v>1</v>
      </c>
      <c r="AA25" t="s">
        <v>375</v>
      </c>
      <c r="AC25" t="s">
        <v>316</v>
      </c>
    </row>
    <row r="26" spans="1:29" x14ac:dyDescent="0.2">
      <c r="A26" t="s">
        <v>344</v>
      </c>
      <c r="B26" t="s">
        <v>306</v>
      </c>
      <c r="C26" t="s">
        <v>124</v>
      </c>
      <c r="D26">
        <v>2021</v>
      </c>
      <c r="E26">
        <f>VLOOKUP(default_1!F37,Hoja1!$AD$1:$AE$176,2,FALSE)</f>
        <v>13</v>
      </c>
      <c r="F26" s="1" t="s">
        <v>345</v>
      </c>
      <c r="G26" t="s">
        <v>346</v>
      </c>
      <c r="H26" t="s">
        <v>26</v>
      </c>
      <c r="I26" t="s">
        <v>1095</v>
      </c>
      <c r="J26">
        <v>5825614</v>
      </c>
      <c r="K26">
        <v>234</v>
      </c>
      <c r="L26" t="s">
        <v>190</v>
      </c>
      <c r="M26" t="s">
        <v>347</v>
      </c>
      <c r="N26" t="s">
        <v>158</v>
      </c>
      <c r="O26">
        <v>0</v>
      </c>
      <c r="P26">
        <v>0</v>
      </c>
      <c r="Q26" t="s">
        <v>348</v>
      </c>
      <c r="R26">
        <v>0</v>
      </c>
      <c r="S26" t="s">
        <v>118</v>
      </c>
      <c r="T26" t="s">
        <v>1068</v>
      </c>
      <c r="U26" t="s">
        <v>349</v>
      </c>
      <c r="V26" t="s">
        <v>130</v>
      </c>
      <c r="W26">
        <v>0</v>
      </c>
      <c r="Y26">
        <v>1</v>
      </c>
      <c r="AA26" t="s">
        <v>350</v>
      </c>
      <c r="AB26" t="s">
        <v>141</v>
      </c>
      <c r="AC26" t="s">
        <v>316</v>
      </c>
    </row>
    <row r="27" spans="1:29" x14ac:dyDescent="0.2">
      <c r="A27" t="s">
        <v>717</v>
      </c>
      <c r="B27" t="s">
        <v>102</v>
      </c>
      <c r="C27" t="s">
        <v>144</v>
      </c>
      <c r="D27">
        <v>2019</v>
      </c>
      <c r="E27">
        <f>VLOOKUP(default_1!F90,Hoja1!$AD$1:$AE$176,2,FALSE)</f>
        <v>12</v>
      </c>
      <c r="F27" s="1" t="s">
        <v>718</v>
      </c>
      <c r="G27" t="s">
        <v>719</v>
      </c>
      <c r="H27" t="s">
        <v>147</v>
      </c>
      <c r="J27">
        <v>40000000</v>
      </c>
      <c r="K27">
        <v>5</v>
      </c>
      <c r="L27" t="s">
        <v>210</v>
      </c>
      <c r="M27" t="s">
        <v>28</v>
      </c>
      <c r="N27" t="s">
        <v>29</v>
      </c>
      <c r="O27">
        <v>1</v>
      </c>
      <c r="P27">
        <v>1</v>
      </c>
      <c r="R27">
        <v>0</v>
      </c>
      <c r="S27" t="s">
        <v>283</v>
      </c>
      <c r="T27" t="s">
        <v>1077</v>
      </c>
      <c r="U27" t="s">
        <v>1557</v>
      </c>
      <c r="V27" t="s">
        <v>720</v>
      </c>
      <c r="W27">
        <v>1</v>
      </c>
      <c r="X27" t="s">
        <v>228</v>
      </c>
      <c r="Y27">
        <v>1</v>
      </c>
      <c r="AA27" t="s">
        <v>721</v>
      </c>
      <c r="AB27" t="s">
        <v>141</v>
      </c>
      <c r="AC27" t="s">
        <v>35</v>
      </c>
    </row>
    <row r="28" spans="1:29" x14ac:dyDescent="0.2">
      <c r="A28" t="s">
        <v>926</v>
      </c>
      <c r="B28" t="s">
        <v>102</v>
      </c>
      <c r="C28" t="s">
        <v>463</v>
      </c>
      <c r="D28">
        <v>2017</v>
      </c>
      <c r="E28">
        <f>VLOOKUP(default_1!F122,Hoja1!$AD$1:$AE$176,2,FALSE)</f>
        <v>0</v>
      </c>
      <c r="F28" s="1" t="s">
        <v>927</v>
      </c>
      <c r="G28" t="s">
        <v>928</v>
      </c>
      <c r="H28" t="s">
        <v>147</v>
      </c>
      <c r="J28">
        <v>5404096</v>
      </c>
      <c r="K28">
        <v>30</v>
      </c>
      <c r="L28" t="s">
        <v>271</v>
      </c>
      <c r="M28" t="s">
        <v>929</v>
      </c>
      <c r="N28" t="s">
        <v>158</v>
      </c>
      <c r="O28">
        <v>1</v>
      </c>
      <c r="P28">
        <v>1</v>
      </c>
      <c r="R28">
        <v>0</v>
      </c>
      <c r="S28" t="s">
        <v>30</v>
      </c>
      <c r="T28" t="s">
        <v>1060</v>
      </c>
      <c r="U28" t="s">
        <v>1536</v>
      </c>
      <c r="V28" t="s">
        <v>373</v>
      </c>
      <c r="W28">
        <v>1</v>
      </c>
      <c r="X28" t="s">
        <v>930</v>
      </c>
      <c r="Y28">
        <v>1</v>
      </c>
      <c r="AA28" t="s">
        <v>931</v>
      </c>
      <c r="AC28" t="s">
        <v>35</v>
      </c>
    </row>
    <row r="29" spans="1:29" x14ac:dyDescent="0.2">
      <c r="A29" t="s">
        <v>153</v>
      </c>
      <c r="B29" t="s">
        <v>154</v>
      </c>
      <c r="C29" t="s">
        <v>49</v>
      </c>
      <c r="D29">
        <v>2023</v>
      </c>
      <c r="E29">
        <f>VLOOKUP(default_1!F14,Hoja1!$AD$1:$AE$176,2,FALSE)</f>
        <v>2</v>
      </c>
      <c r="F29" s="1" t="s">
        <v>155</v>
      </c>
      <c r="G29" t="s">
        <v>156</v>
      </c>
      <c r="H29" t="s">
        <v>147</v>
      </c>
      <c r="J29">
        <v>96065229</v>
      </c>
      <c r="K29">
        <v>31</v>
      </c>
      <c r="L29" t="s">
        <v>27</v>
      </c>
      <c r="M29" t="s">
        <v>157</v>
      </c>
      <c r="N29" t="s">
        <v>158</v>
      </c>
      <c r="O29">
        <v>0</v>
      </c>
      <c r="P29">
        <v>1</v>
      </c>
      <c r="Q29" t="s">
        <v>107</v>
      </c>
      <c r="R29">
        <v>0</v>
      </c>
      <c r="S29" t="s">
        <v>118</v>
      </c>
      <c r="T29" t="s">
        <v>1061</v>
      </c>
      <c r="U29" t="s">
        <v>159</v>
      </c>
      <c r="V29" t="s">
        <v>1589</v>
      </c>
      <c r="W29">
        <v>1</v>
      </c>
      <c r="X29" t="s">
        <v>161</v>
      </c>
      <c r="Y29">
        <v>1</v>
      </c>
      <c r="AA29" t="s">
        <v>162</v>
      </c>
      <c r="AC29" t="s">
        <v>35</v>
      </c>
    </row>
    <row r="30" spans="1:29" x14ac:dyDescent="0.2">
      <c r="A30" t="s">
        <v>630</v>
      </c>
      <c r="B30" t="s">
        <v>631</v>
      </c>
      <c r="C30" t="s">
        <v>63</v>
      </c>
      <c r="D30">
        <v>2020</v>
      </c>
      <c r="E30">
        <f>VLOOKUP(default_1!F76,Hoja1!$AD$1:$AE$176,2,FALSE)</f>
        <v>20</v>
      </c>
      <c r="F30" s="1" t="s">
        <v>632</v>
      </c>
      <c r="G30" t="s">
        <v>633</v>
      </c>
      <c r="H30" t="s">
        <v>105</v>
      </c>
      <c r="J30">
        <v>81763455</v>
      </c>
      <c r="K30">
        <v>7</v>
      </c>
      <c r="L30" t="s">
        <v>210</v>
      </c>
      <c r="M30" t="s">
        <v>634</v>
      </c>
      <c r="N30" t="s">
        <v>29</v>
      </c>
      <c r="O30">
        <v>0</v>
      </c>
      <c r="P30">
        <v>0</v>
      </c>
      <c r="Q30" t="s">
        <v>313</v>
      </c>
      <c r="R30">
        <v>0</v>
      </c>
      <c r="S30" t="s">
        <v>118</v>
      </c>
      <c r="T30" t="s">
        <v>1058</v>
      </c>
      <c r="U30" t="s">
        <v>1541</v>
      </c>
      <c r="V30" t="s">
        <v>635</v>
      </c>
      <c r="W30">
        <v>1</v>
      </c>
      <c r="X30" t="s">
        <v>636</v>
      </c>
      <c r="Y30">
        <v>1</v>
      </c>
      <c r="AA30" t="s">
        <v>637</v>
      </c>
      <c r="AB30" t="s">
        <v>638</v>
      </c>
      <c r="AC30" t="s">
        <v>122</v>
      </c>
    </row>
    <row r="31" spans="1:29" x14ac:dyDescent="0.2">
      <c r="A31" t="s">
        <v>48</v>
      </c>
      <c r="B31" t="s">
        <v>37</v>
      </c>
      <c r="C31" t="s">
        <v>49</v>
      </c>
      <c r="D31">
        <v>2023</v>
      </c>
      <c r="E31">
        <f>VLOOKUP(default_1!F4,Hoja1!$AD$1:$AE$176,2,FALSE)</f>
        <v>20</v>
      </c>
      <c r="F31" s="1" t="s">
        <v>50</v>
      </c>
      <c r="G31" t="s">
        <v>51</v>
      </c>
      <c r="H31" t="s">
        <v>52</v>
      </c>
      <c r="J31">
        <v>19720000</v>
      </c>
      <c r="K31">
        <v>30</v>
      </c>
      <c r="L31" t="s">
        <v>53</v>
      </c>
      <c r="M31" t="s">
        <v>54</v>
      </c>
      <c r="N31" t="s">
        <v>29</v>
      </c>
      <c r="O31">
        <v>0</v>
      </c>
      <c r="P31">
        <v>0</v>
      </c>
      <c r="Q31" t="s">
        <v>55</v>
      </c>
      <c r="R31">
        <v>0</v>
      </c>
      <c r="S31" t="s">
        <v>118</v>
      </c>
      <c r="T31" t="s">
        <v>26</v>
      </c>
      <c r="U31" t="s">
        <v>57</v>
      </c>
      <c r="V31" t="s">
        <v>58</v>
      </c>
      <c r="W31">
        <v>0</v>
      </c>
      <c r="Y31">
        <v>0</v>
      </c>
      <c r="Z31" t="s">
        <v>59</v>
      </c>
      <c r="AA31" t="s">
        <v>60</v>
      </c>
      <c r="AC31" t="s">
        <v>35</v>
      </c>
    </row>
    <row r="32" spans="1:29" x14ac:dyDescent="0.2">
      <c r="A32" t="s">
        <v>639</v>
      </c>
      <c r="B32" t="s">
        <v>640</v>
      </c>
      <c r="C32" t="s">
        <v>641</v>
      </c>
      <c r="D32">
        <v>2020</v>
      </c>
      <c r="E32">
        <f>VLOOKUP(default_1!F77,Hoja1!$AD$1:$AE$176,2,FALSE)</f>
        <v>38</v>
      </c>
      <c r="F32" s="1" t="s">
        <v>642</v>
      </c>
      <c r="G32" t="s">
        <v>643</v>
      </c>
      <c r="H32" t="s">
        <v>52</v>
      </c>
      <c r="J32">
        <v>3233566</v>
      </c>
      <c r="K32">
        <v>7</v>
      </c>
      <c r="L32" t="s">
        <v>53</v>
      </c>
      <c r="M32" t="s">
        <v>54</v>
      </c>
      <c r="N32" t="s">
        <v>29</v>
      </c>
      <c r="O32">
        <v>0</v>
      </c>
      <c r="P32">
        <v>0</v>
      </c>
      <c r="Q32" t="s">
        <v>85</v>
      </c>
      <c r="R32">
        <v>0</v>
      </c>
      <c r="S32" t="s">
        <v>56</v>
      </c>
      <c r="T32" t="s">
        <v>1070</v>
      </c>
      <c r="U32" t="s">
        <v>644</v>
      </c>
      <c r="V32" t="s">
        <v>645</v>
      </c>
      <c r="W32">
        <v>0</v>
      </c>
      <c r="Y32">
        <v>0</v>
      </c>
      <c r="Z32" t="s">
        <v>646</v>
      </c>
      <c r="AA32" t="s">
        <v>647</v>
      </c>
      <c r="AC32" t="s">
        <v>35</v>
      </c>
    </row>
    <row r="33" spans="1:29" x14ac:dyDescent="0.2">
      <c r="A33" t="s">
        <v>179</v>
      </c>
      <c r="B33" t="s">
        <v>180</v>
      </c>
      <c r="C33" t="s">
        <v>38</v>
      </c>
      <c r="D33">
        <v>2023</v>
      </c>
      <c r="E33">
        <f>VLOOKUP(default_1!F17,Hoja1!$AD$1:$AE$176,2,FALSE)</f>
        <v>13</v>
      </c>
      <c r="F33" s="1" t="s">
        <v>181</v>
      </c>
      <c r="G33" t="s">
        <v>182</v>
      </c>
      <c r="H33" t="s">
        <v>26</v>
      </c>
      <c r="I33" t="s">
        <v>1087</v>
      </c>
      <c r="J33">
        <v>30000000</v>
      </c>
      <c r="K33">
        <v>7</v>
      </c>
      <c r="M33" t="s">
        <v>183</v>
      </c>
      <c r="N33" t="s">
        <v>29</v>
      </c>
      <c r="O33">
        <v>0</v>
      </c>
      <c r="P33">
        <v>0</v>
      </c>
      <c r="Q33" t="s">
        <v>43</v>
      </c>
      <c r="R33">
        <v>0</v>
      </c>
      <c r="S33" t="s">
        <v>30</v>
      </c>
      <c r="T33" t="s">
        <v>1058</v>
      </c>
      <c r="U33" t="s">
        <v>1546</v>
      </c>
      <c r="V33" t="s">
        <v>1590</v>
      </c>
      <c r="W33">
        <v>0</v>
      </c>
      <c r="X33" t="s">
        <v>185</v>
      </c>
      <c r="Y33">
        <v>1</v>
      </c>
      <c r="AA33" t="s">
        <v>162</v>
      </c>
      <c r="AC33" t="s">
        <v>35</v>
      </c>
    </row>
    <row r="34" spans="1:29" x14ac:dyDescent="0.2">
      <c r="A34" t="s">
        <v>305</v>
      </c>
      <c r="B34" t="s">
        <v>306</v>
      </c>
      <c r="C34" t="s">
        <v>207</v>
      </c>
      <c r="D34">
        <v>2022</v>
      </c>
      <c r="E34">
        <f>VLOOKUP(default_1!F31,Hoja1!$AD$1:$AE$176,2,FALSE)</f>
        <v>31</v>
      </c>
      <c r="F34" s="1" t="s">
        <v>307</v>
      </c>
      <c r="G34" t="s">
        <v>308</v>
      </c>
      <c r="H34" t="s">
        <v>26</v>
      </c>
      <c r="I34" t="s">
        <v>1094</v>
      </c>
      <c r="J34">
        <v>500000000</v>
      </c>
      <c r="K34">
        <v>120</v>
      </c>
      <c r="L34" t="s">
        <v>135</v>
      </c>
      <c r="M34" t="s">
        <v>309</v>
      </c>
      <c r="N34" t="s">
        <v>29</v>
      </c>
      <c r="O34">
        <v>0</v>
      </c>
      <c r="P34">
        <v>1</v>
      </c>
      <c r="Q34" t="s">
        <v>292</v>
      </c>
      <c r="R34">
        <v>0</v>
      </c>
      <c r="S34" t="s">
        <v>56</v>
      </c>
      <c r="T34" t="s">
        <v>1067</v>
      </c>
      <c r="U34" t="s">
        <v>79</v>
      </c>
      <c r="V34" t="s">
        <v>79</v>
      </c>
      <c r="W34">
        <v>0</v>
      </c>
      <c r="Y34">
        <v>0</v>
      </c>
      <c r="AC34" t="s">
        <v>35</v>
      </c>
    </row>
    <row r="35" spans="1:29" x14ac:dyDescent="0.2">
      <c r="A35" t="s">
        <v>267</v>
      </c>
      <c r="B35" t="s">
        <v>268</v>
      </c>
      <c r="C35" t="s">
        <v>63</v>
      </c>
      <c r="D35">
        <v>2022</v>
      </c>
      <c r="E35">
        <f>VLOOKUP(default_1!F27,Hoja1!$AD$1:$AE$176,2,FALSE)</f>
        <v>52</v>
      </c>
      <c r="F35" s="1" t="s">
        <v>269</v>
      </c>
      <c r="G35" t="s">
        <v>270</v>
      </c>
      <c r="H35" t="s">
        <v>147</v>
      </c>
      <c r="J35">
        <v>210000000</v>
      </c>
      <c r="K35">
        <v>214</v>
      </c>
      <c r="L35" t="s">
        <v>271</v>
      </c>
      <c r="M35" t="s">
        <v>272</v>
      </c>
      <c r="N35" t="s">
        <v>158</v>
      </c>
      <c r="O35">
        <v>0</v>
      </c>
      <c r="P35">
        <v>0</v>
      </c>
      <c r="Q35" t="s">
        <v>273</v>
      </c>
      <c r="R35">
        <v>0</v>
      </c>
      <c r="S35" t="s">
        <v>118</v>
      </c>
      <c r="T35" t="s">
        <v>1060</v>
      </c>
      <c r="U35" t="s">
        <v>274</v>
      </c>
      <c r="V35" t="s">
        <v>193</v>
      </c>
      <c r="W35">
        <v>0</v>
      </c>
      <c r="X35" t="s">
        <v>275</v>
      </c>
      <c r="Y35">
        <v>1</v>
      </c>
      <c r="AA35" t="s">
        <v>276</v>
      </c>
      <c r="AC35" t="s">
        <v>35</v>
      </c>
    </row>
    <row r="36" spans="1:29" x14ac:dyDescent="0.2">
      <c r="A36" t="s">
        <v>794</v>
      </c>
      <c r="B36" t="s">
        <v>488</v>
      </c>
      <c r="C36" t="s">
        <v>288</v>
      </c>
      <c r="D36">
        <v>2019</v>
      </c>
      <c r="E36">
        <f>VLOOKUP(default_1!F101,Hoja1!$AD$1:$AE$176,2,FALSE)</f>
        <v>28</v>
      </c>
      <c r="F36" s="1" t="s">
        <v>795</v>
      </c>
      <c r="G36" t="s">
        <v>796</v>
      </c>
      <c r="H36" t="s">
        <v>400</v>
      </c>
      <c r="J36">
        <v>1808915180</v>
      </c>
      <c r="K36">
        <v>730</v>
      </c>
      <c r="L36" t="s">
        <v>492</v>
      </c>
      <c r="M36" t="s">
        <v>797</v>
      </c>
      <c r="N36" t="s">
        <v>29</v>
      </c>
      <c r="O36">
        <v>1</v>
      </c>
      <c r="P36">
        <v>1</v>
      </c>
      <c r="R36">
        <v>0</v>
      </c>
      <c r="S36" t="s">
        <v>118</v>
      </c>
      <c r="T36" t="s">
        <v>1078</v>
      </c>
      <c r="U36" t="s">
        <v>798</v>
      </c>
      <c r="V36" t="s">
        <v>1579</v>
      </c>
      <c r="W36">
        <v>1</v>
      </c>
      <c r="X36" t="s">
        <v>800</v>
      </c>
      <c r="Y36">
        <v>1</v>
      </c>
      <c r="AA36" t="s">
        <v>375</v>
      </c>
      <c r="AC36" t="s">
        <v>89</v>
      </c>
    </row>
    <row r="37" spans="1:29" x14ac:dyDescent="0.2">
      <c r="A37" t="s">
        <v>775</v>
      </c>
      <c r="B37" t="s">
        <v>776</v>
      </c>
      <c r="C37" t="s">
        <v>777</v>
      </c>
      <c r="D37">
        <v>2019</v>
      </c>
      <c r="E37">
        <f>VLOOKUP(default_1!F98,Hoja1!$AD$1:$AE$176,2,FALSE)</f>
        <v>102</v>
      </c>
      <c r="F37" s="1" t="s">
        <v>778</v>
      </c>
      <c r="G37" t="s">
        <v>779</v>
      </c>
      <c r="H37" t="s">
        <v>26</v>
      </c>
      <c r="I37" t="s">
        <v>1087</v>
      </c>
      <c r="J37">
        <v>1700000000</v>
      </c>
      <c r="K37">
        <v>91</v>
      </c>
      <c r="L37" t="s">
        <v>271</v>
      </c>
      <c r="M37" t="s">
        <v>28</v>
      </c>
      <c r="N37" t="s">
        <v>29</v>
      </c>
      <c r="O37">
        <v>0</v>
      </c>
      <c r="P37">
        <v>0</v>
      </c>
      <c r="Q37" t="s">
        <v>780</v>
      </c>
      <c r="R37">
        <v>0</v>
      </c>
      <c r="S37" t="s">
        <v>816</v>
      </c>
      <c r="T37" t="s">
        <v>1065</v>
      </c>
      <c r="U37" t="s">
        <v>781</v>
      </c>
      <c r="V37" t="s">
        <v>1577</v>
      </c>
      <c r="W37">
        <v>0</v>
      </c>
      <c r="Y37">
        <v>0</v>
      </c>
      <c r="Z37" t="s">
        <v>782</v>
      </c>
      <c r="AA37" t="s">
        <v>420</v>
      </c>
      <c r="AB37" t="s">
        <v>1566</v>
      </c>
      <c r="AC37" t="s">
        <v>35</v>
      </c>
    </row>
    <row r="38" spans="1:29" x14ac:dyDescent="0.2">
      <c r="A38" t="s">
        <v>376</v>
      </c>
      <c r="B38" t="s">
        <v>154</v>
      </c>
      <c r="C38" t="s">
        <v>92</v>
      </c>
      <c r="D38">
        <v>2021</v>
      </c>
      <c r="E38">
        <f>VLOOKUP(default_1!F41,Hoja1!$AD$1:$AE$176,2,FALSE)</f>
        <v>8</v>
      </c>
      <c r="F38" s="1" t="s">
        <v>377</v>
      </c>
      <c r="G38" t="s">
        <v>378</v>
      </c>
      <c r="H38" t="s">
        <v>26</v>
      </c>
      <c r="I38" t="s">
        <v>1085</v>
      </c>
      <c r="J38">
        <v>20980000</v>
      </c>
      <c r="K38">
        <v>1</v>
      </c>
      <c r="L38" t="s">
        <v>53</v>
      </c>
      <c r="M38" t="s">
        <v>84</v>
      </c>
      <c r="N38" t="s">
        <v>29</v>
      </c>
      <c r="O38">
        <v>1</v>
      </c>
      <c r="P38">
        <v>1</v>
      </c>
      <c r="R38">
        <v>0</v>
      </c>
      <c r="S38" t="s">
        <v>56</v>
      </c>
      <c r="T38" t="s">
        <v>1059</v>
      </c>
      <c r="U38" t="s">
        <v>379</v>
      </c>
      <c r="V38" t="s">
        <v>380</v>
      </c>
      <c r="W38">
        <v>0</v>
      </c>
      <c r="Y38">
        <v>1</v>
      </c>
      <c r="Z38" t="s">
        <v>381</v>
      </c>
      <c r="AC38" t="s">
        <v>89</v>
      </c>
    </row>
    <row r="39" spans="1:29" x14ac:dyDescent="0.2">
      <c r="A39" t="s">
        <v>614</v>
      </c>
      <c r="B39" t="s">
        <v>170</v>
      </c>
      <c r="C39" t="s">
        <v>250</v>
      </c>
      <c r="D39">
        <v>2020</v>
      </c>
      <c r="E39">
        <f>VLOOKUP(default_1!F11,Hoja1!$AD$1:$AE$176,2,FALSE)</f>
        <v>20</v>
      </c>
      <c r="F39" s="1" t="s">
        <v>615</v>
      </c>
      <c r="G39" t="s">
        <v>616</v>
      </c>
      <c r="H39" t="s">
        <v>26</v>
      </c>
      <c r="I39" t="s">
        <v>1089</v>
      </c>
      <c r="J39">
        <v>3339187</v>
      </c>
      <c r="K39">
        <v>730</v>
      </c>
      <c r="M39" t="s">
        <v>1271</v>
      </c>
      <c r="N39" t="s">
        <v>29</v>
      </c>
      <c r="O39">
        <v>1</v>
      </c>
      <c r="P39">
        <v>1</v>
      </c>
      <c r="R39">
        <v>0</v>
      </c>
      <c r="S39" t="s">
        <v>219</v>
      </c>
      <c r="T39" t="s">
        <v>219</v>
      </c>
      <c r="U39" t="s">
        <v>617</v>
      </c>
      <c r="V39" t="s">
        <v>1591</v>
      </c>
      <c r="W39">
        <v>0</v>
      </c>
      <c r="Y39">
        <v>1</v>
      </c>
      <c r="AA39" t="s">
        <v>619</v>
      </c>
      <c r="AB39" t="s">
        <v>620</v>
      </c>
      <c r="AC39" t="s">
        <v>35</v>
      </c>
    </row>
    <row r="40" spans="1:29" x14ac:dyDescent="0.2">
      <c r="A40" t="s">
        <v>186</v>
      </c>
      <c r="B40" t="s">
        <v>187</v>
      </c>
      <c r="C40" t="s">
        <v>63</v>
      </c>
      <c r="D40">
        <v>2022</v>
      </c>
      <c r="E40">
        <f>VLOOKUP(default_1!F18,Hoja1!$AD$1:$AE$176,2,FALSE)</f>
        <v>4</v>
      </c>
      <c r="F40" s="1" t="s">
        <v>188</v>
      </c>
      <c r="G40" t="s">
        <v>189</v>
      </c>
      <c r="H40" t="s">
        <v>147</v>
      </c>
      <c r="J40">
        <v>1856015</v>
      </c>
      <c r="K40">
        <v>92</v>
      </c>
      <c r="L40" t="s">
        <v>190</v>
      </c>
      <c r="M40" t="s">
        <v>84</v>
      </c>
      <c r="N40" t="s">
        <v>29</v>
      </c>
      <c r="O40">
        <v>0</v>
      </c>
      <c r="P40">
        <v>0</v>
      </c>
      <c r="Q40" t="s">
        <v>191</v>
      </c>
      <c r="R40">
        <v>0</v>
      </c>
      <c r="S40" t="s">
        <v>56</v>
      </c>
      <c r="T40" t="s">
        <v>1063</v>
      </c>
      <c r="U40" t="s">
        <v>192</v>
      </c>
      <c r="V40" t="s">
        <v>193</v>
      </c>
      <c r="W40">
        <v>1</v>
      </c>
      <c r="X40" t="s">
        <v>194</v>
      </c>
      <c r="Y40">
        <v>0</v>
      </c>
      <c r="Z40" t="s">
        <v>195</v>
      </c>
      <c r="AA40" t="s">
        <v>196</v>
      </c>
      <c r="AC40" t="s">
        <v>35</v>
      </c>
    </row>
    <row r="41" spans="1:29" x14ac:dyDescent="0.2">
      <c r="A41" t="s">
        <v>738</v>
      </c>
      <c r="B41" t="s">
        <v>739</v>
      </c>
      <c r="C41" t="s">
        <v>740</v>
      </c>
      <c r="D41">
        <v>2019</v>
      </c>
      <c r="E41">
        <f>VLOOKUP(default_1!F93,Hoja1!$AD$1:$AE$176,2,FALSE)</f>
        <v>7</v>
      </c>
      <c r="F41" s="1" t="s">
        <v>741</v>
      </c>
      <c r="G41" t="s">
        <v>742</v>
      </c>
      <c r="H41" t="s">
        <v>147</v>
      </c>
      <c r="J41">
        <v>37200000</v>
      </c>
      <c r="K41">
        <v>62</v>
      </c>
      <c r="L41" t="s">
        <v>53</v>
      </c>
      <c r="M41" t="s">
        <v>743</v>
      </c>
      <c r="N41" t="s">
        <v>158</v>
      </c>
      <c r="O41">
        <v>0</v>
      </c>
      <c r="P41">
        <v>0</v>
      </c>
      <c r="Q41" t="s">
        <v>744</v>
      </c>
      <c r="R41">
        <v>0</v>
      </c>
      <c r="S41" t="s">
        <v>69</v>
      </c>
      <c r="T41" t="s">
        <v>1072</v>
      </c>
      <c r="U41" t="s">
        <v>745</v>
      </c>
      <c r="V41" t="s">
        <v>1578</v>
      </c>
      <c r="W41">
        <v>0</v>
      </c>
      <c r="Y41">
        <v>1</v>
      </c>
      <c r="Z41" t="s">
        <v>746</v>
      </c>
      <c r="AA41" t="s">
        <v>747</v>
      </c>
      <c r="AB41" t="s">
        <v>748</v>
      </c>
      <c r="AC41" t="s">
        <v>35</v>
      </c>
    </row>
    <row r="42" spans="1:29" x14ac:dyDescent="0.2">
      <c r="A42" t="s">
        <v>722</v>
      </c>
      <c r="B42" t="s">
        <v>170</v>
      </c>
      <c r="C42" t="s">
        <v>199</v>
      </c>
      <c r="D42">
        <v>2019</v>
      </c>
      <c r="E42">
        <f>VLOOKUP(default_1!F91,Hoja1!$AD$1:$AE$176,2,FALSE)</f>
        <v>15</v>
      </c>
      <c r="F42" s="1" t="s">
        <v>723</v>
      </c>
      <c r="G42" t="s">
        <v>724</v>
      </c>
      <c r="H42" t="s">
        <v>105</v>
      </c>
      <c r="J42">
        <v>240000000</v>
      </c>
      <c r="K42">
        <v>30</v>
      </c>
      <c r="L42" t="s">
        <v>210</v>
      </c>
      <c r="M42" t="s">
        <v>725</v>
      </c>
      <c r="N42" t="s">
        <v>29</v>
      </c>
      <c r="O42">
        <v>0</v>
      </c>
      <c r="P42">
        <v>1</v>
      </c>
      <c r="Q42" t="s">
        <v>726</v>
      </c>
      <c r="R42">
        <v>0</v>
      </c>
      <c r="S42" t="s">
        <v>149</v>
      </c>
      <c r="T42" t="s">
        <v>1064</v>
      </c>
      <c r="U42" t="s">
        <v>727</v>
      </c>
      <c r="V42" t="s">
        <v>728</v>
      </c>
      <c r="W42">
        <v>1</v>
      </c>
      <c r="X42" t="s">
        <v>729</v>
      </c>
      <c r="Y42">
        <v>1</v>
      </c>
      <c r="AA42" t="s">
        <v>730</v>
      </c>
      <c r="AB42" t="s">
        <v>731</v>
      </c>
      <c r="AC42" t="s">
        <v>35</v>
      </c>
    </row>
    <row r="43" spans="1:29" x14ac:dyDescent="0.2">
      <c r="A43" t="s">
        <v>169</v>
      </c>
      <c r="B43" t="s">
        <v>170</v>
      </c>
      <c r="C43" t="s">
        <v>144</v>
      </c>
      <c r="D43">
        <v>2022</v>
      </c>
      <c r="E43">
        <f>VLOOKUP(default_1!F16,Hoja1!$AD$1:$AE$176,2,FALSE)</f>
        <v>16</v>
      </c>
      <c r="F43" s="1" t="s">
        <v>171</v>
      </c>
      <c r="G43" t="s">
        <v>172</v>
      </c>
      <c r="H43" t="s">
        <v>147</v>
      </c>
      <c r="J43">
        <v>160655</v>
      </c>
      <c r="K43">
        <v>31</v>
      </c>
      <c r="L43" t="s">
        <v>27</v>
      </c>
      <c r="M43" t="s">
        <v>173</v>
      </c>
      <c r="N43" t="s">
        <v>29</v>
      </c>
      <c r="O43">
        <v>0</v>
      </c>
      <c r="P43">
        <v>0</v>
      </c>
      <c r="Q43" t="s">
        <v>174</v>
      </c>
      <c r="R43">
        <v>0</v>
      </c>
      <c r="S43" t="s">
        <v>149</v>
      </c>
      <c r="T43" t="s">
        <v>1060</v>
      </c>
      <c r="U43" t="s">
        <v>175</v>
      </c>
      <c r="V43" t="s">
        <v>176</v>
      </c>
      <c r="W43">
        <v>0</v>
      </c>
      <c r="Y43">
        <v>1</v>
      </c>
      <c r="Z43" t="s">
        <v>177</v>
      </c>
      <c r="AA43" t="s">
        <v>178</v>
      </c>
      <c r="AC43" t="s">
        <v>35</v>
      </c>
    </row>
    <row r="44" spans="1:29" x14ac:dyDescent="0.2">
      <c r="A44" t="s">
        <v>606</v>
      </c>
      <c r="B44" t="s">
        <v>22</v>
      </c>
      <c r="C44" t="s">
        <v>607</v>
      </c>
      <c r="D44">
        <v>2020</v>
      </c>
      <c r="E44">
        <f>VLOOKUP(default_1!F73,Hoja1!$AD$1:$AE$176,2,FALSE)</f>
        <v>8</v>
      </c>
      <c r="F44" s="1" t="s">
        <v>608</v>
      </c>
      <c r="G44" t="s">
        <v>609</v>
      </c>
      <c r="H44" t="s">
        <v>26</v>
      </c>
      <c r="I44" t="s">
        <v>1087</v>
      </c>
      <c r="J44">
        <v>4375110831</v>
      </c>
      <c r="K44">
        <v>609</v>
      </c>
      <c r="L44" t="s">
        <v>363</v>
      </c>
      <c r="M44" t="s">
        <v>84</v>
      </c>
      <c r="N44" t="s">
        <v>29</v>
      </c>
      <c r="O44">
        <v>0</v>
      </c>
      <c r="P44">
        <v>0</v>
      </c>
      <c r="Q44" t="s">
        <v>610</v>
      </c>
      <c r="R44">
        <v>0</v>
      </c>
      <c r="S44" t="s">
        <v>118</v>
      </c>
      <c r="T44" t="s">
        <v>26</v>
      </c>
      <c r="U44" t="s">
        <v>611</v>
      </c>
      <c r="V44" t="s">
        <v>58</v>
      </c>
      <c r="W44">
        <v>0</v>
      </c>
      <c r="Y44">
        <v>1</v>
      </c>
      <c r="Z44" t="s">
        <v>612</v>
      </c>
      <c r="AA44" t="s">
        <v>613</v>
      </c>
      <c r="AB44" t="s">
        <v>434</v>
      </c>
      <c r="AC44" t="s">
        <v>35</v>
      </c>
    </row>
    <row r="45" spans="1:29" x14ac:dyDescent="0.2">
      <c r="A45" t="s">
        <v>482</v>
      </c>
      <c r="B45" t="s">
        <v>91</v>
      </c>
      <c r="C45" t="s">
        <v>49</v>
      </c>
      <c r="D45">
        <v>2021</v>
      </c>
      <c r="E45">
        <f>VLOOKUP(default_1!F56,Hoja1!$AD$1:$AE$176,2,FALSE)</f>
        <v>8</v>
      </c>
      <c r="F45" s="1" t="s">
        <v>483</v>
      </c>
      <c r="G45" t="s">
        <v>484</v>
      </c>
      <c r="H45" t="s">
        <v>26</v>
      </c>
      <c r="I45" t="s">
        <v>1097</v>
      </c>
      <c r="J45">
        <v>4379653</v>
      </c>
      <c r="K45">
        <v>14</v>
      </c>
      <c r="L45" t="s">
        <v>363</v>
      </c>
      <c r="M45" t="s">
        <v>485</v>
      </c>
      <c r="N45" t="s">
        <v>29</v>
      </c>
      <c r="O45">
        <v>1</v>
      </c>
      <c r="P45">
        <v>1</v>
      </c>
      <c r="Q45" t="s">
        <v>203</v>
      </c>
      <c r="R45">
        <v>0</v>
      </c>
      <c r="S45" t="s">
        <v>56</v>
      </c>
      <c r="T45" t="s">
        <v>1074</v>
      </c>
      <c r="U45" t="s">
        <v>1531</v>
      </c>
      <c r="V45" t="s">
        <v>486</v>
      </c>
      <c r="W45">
        <v>0</v>
      </c>
      <c r="Y45">
        <v>0</v>
      </c>
      <c r="AC45" t="s">
        <v>35</v>
      </c>
    </row>
    <row r="46" spans="1:29" x14ac:dyDescent="0.2">
      <c r="A46" t="s">
        <v>330</v>
      </c>
      <c r="B46" t="s">
        <v>331</v>
      </c>
      <c r="C46" t="s">
        <v>92</v>
      </c>
      <c r="D46">
        <v>2021</v>
      </c>
      <c r="E46">
        <f>VLOOKUP(default_1!F62,Hoja1!$AD$1:$AE$176,2,FALSE)</f>
        <v>5</v>
      </c>
      <c r="F46" s="1" t="s">
        <v>332</v>
      </c>
      <c r="G46" t="s">
        <v>333</v>
      </c>
      <c r="H46" t="s">
        <v>26</v>
      </c>
      <c r="I46" t="s">
        <v>1087</v>
      </c>
      <c r="J46">
        <v>4110205036</v>
      </c>
      <c r="K46">
        <v>366</v>
      </c>
      <c r="L46" t="s">
        <v>190</v>
      </c>
      <c r="M46" t="s">
        <v>334</v>
      </c>
      <c r="N46" t="s">
        <v>67</v>
      </c>
      <c r="O46">
        <v>0</v>
      </c>
      <c r="P46">
        <v>0</v>
      </c>
      <c r="R46">
        <v>0</v>
      </c>
      <c r="S46" t="s">
        <v>335</v>
      </c>
      <c r="T46" t="s">
        <v>1076</v>
      </c>
      <c r="U46" t="s">
        <v>1525</v>
      </c>
      <c r="V46" t="s">
        <v>1525</v>
      </c>
      <c r="W46">
        <v>0</v>
      </c>
      <c r="Y46">
        <v>0</v>
      </c>
      <c r="AA46" t="s">
        <v>162</v>
      </c>
      <c r="AC46" t="s">
        <v>35</v>
      </c>
    </row>
    <row r="47" spans="1:29" x14ac:dyDescent="0.2">
      <c r="A47" t="s">
        <v>958</v>
      </c>
      <c r="B47" t="s">
        <v>154</v>
      </c>
      <c r="D47">
        <v>2017</v>
      </c>
      <c r="E47">
        <f>VLOOKUP(default_1!F127,Hoja1!$AD$1:$AE$176,2,FALSE)</f>
        <v>35</v>
      </c>
      <c r="F47" s="1" t="s">
        <v>959</v>
      </c>
      <c r="G47" t="s">
        <v>960</v>
      </c>
      <c r="H47" t="s">
        <v>400</v>
      </c>
      <c r="J47">
        <v>500000</v>
      </c>
      <c r="K47">
        <v>1</v>
      </c>
      <c r="L47" t="s">
        <v>210</v>
      </c>
      <c r="M47" t="s">
        <v>851</v>
      </c>
      <c r="N47" t="s">
        <v>29</v>
      </c>
      <c r="O47">
        <v>1</v>
      </c>
      <c r="P47">
        <v>1</v>
      </c>
      <c r="R47">
        <v>0</v>
      </c>
      <c r="S47" t="s">
        <v>56</v>
      </c>
      <c r="T47" t="s">
        <v>1062</v>
      </c>
      <c r="U47" t="s">
        <v>1505</v>
      </c>
      <c r="V47" t="s">
        <v>1505</v>
      </c>
      <c r="W47">
        <v>1</v>
      </c>
      <c r="X47" t="s">
        <v>962</v>
      </c>
      <c r="Y47">
        <v>0</v>
      </c>
      <c r="AA47" t="s">
        <v>963</v>
      </c>
      <c r="AC47" t="s">
        <v>35</v>
      </c>
    </row>
    <row r="48" spans="1:29" x14ac:dyDescent="0.2">
      <c r="A48" t="s">
        <v>428</v>
      </c>
      <c r="B48" t="s">
        <v>154</v>
      </c>
      <c r="C48" t="s">
        <v>92</v>
      </c>
      <c r="D48">
        <v>2021</v>
      </c>
      <c r="E48">
        <f>VLOOKUP(default_1!F48,Hoja1!$AD$1:$AE$176,2,FALSE)</f>
        <v>16</v>
      </c>
      <c r="F48" s="1" t="s">
        <v>429</v>
      </c>
      <c r="G48" t="s">
        <v>430</v>
      </c>
      <c r="H48" t="s">
        <v>105</v>
      </c>
      <c r="J48">
        <v>150127</v>
      </c>
      <c r="K48">
        <v>1</v>
      </c>
      <c r="L48" t="s">
        <v>53</v>
      </c>
      <c r="M48" t="s">
        <v>84</v>
      </c>
      <c r="N48" t="s">
        <v>29</v>
      </c>
      <c r="O48">
        <v>1</v>
      </c>
      <c r="P48">
        <v>1</v>
      </c>
      <c r="R48">
        <v>0</v>
      </c>
      <c r="S48" t="s">
        <v>56</v>
      </c>
      <c r="T48" t="s">
        <v>1070</v>
      </c>
      <c r="U48" t="s">
        <v>431</v>
      </c>
      <c r="V48" t="s">
        <v>30</v>
      </c>
      <c r="W48">
        <v>0</v>
      </c>
      <c r="Y48">
        <v>1</v>
      </c>
      <c r="Z48" t="s">
        <v>432</v>
      </c>
      <c r="AA48" t="s">
        <v>433</v>
      </c>
      <c r="AB48" t="s">
        <v>434</v>
      </c>
      <c r="AC48" t="s">
        <v>35</v>
      </c>
    </row>
    <row r="49" spans="1:29" x14ac:dyDescent="0.2">
      <c r="A49" t="s">
        <v>648</v>
      </c>
      <c r="B49" t="s">
        <v>37</v>
      </c>
      <c r="C49" t="s">
        <v>224</v>
      </c>
      <c r="D49">
        <v>2020</v>
      </c>
      <c r="E49">
        <f>VLOOKUP(default_1!F78,Hoja1!$AD$1:$AE$176,2,FALSE)</f>
        <v>40</v>
      </c>
      <c r="F49" s="1" t="s">
        <v>649</v>
      </c>
      <c r="G49" t="s">
        <v>650</v>
      </c>
      <c r="H49" t="s">
        <v>26</v>
      </c>
      <c r="I49" t="s">
        <v>1100</v>
      </c>
      <c r="J49">
        <v>260000000</v>
      </c>
      <c r="K49">
        <v>365</v>
      </c>
      <c r="L49" t="s">
        <v>242</v>
      </c>
      <c r="M49" t="s">
        <v>651</v>
      </c>
      <c r="N49" t="s">
        <v>158</v>
      </c>
      <c r="O49">
        <v>0</v>
      </c>
      <c r="P49">
        <v>1</v>
      </c>
      <c r="Q49" t="s">
        <v>652</v>
      </c>
      <c r="R49">
        <v>0</v>
      </c>
      <c r="S49" t="s">
        <v>118</v>
      </c>
      <c r="T49" t="s">
        <v>1058</v>
      </c>
      <c r="U49" t="s">
        <v>1526</v>
      </c>
      <c r="V49" t="s">
        <v>1526</v>
      </c>
      <c r="W49">
        <v>0</v>
      </c>
      <c r="Y49">
        <v>1</v>
      </c>
      <c r="Z49" t="s">
        <v>653</v>
      </c>
      <c r="AB49" t="s">
        <v>434</v>
      </c>
      <c r="AC49" t="s">
        <v>35</v>
      </c>
    </row>
    <row r="50" spans="1:29" x14ac:dyDescent="0.2">
      <c r="A50" t="s">
        <v>922</v>
      </c>
      <c r="B50" t="s">
        <v>102</v>
      </c>
      <c r="C50" t="s">
        <v>38</v>
      </c>
      <c r="D50">
        <v>2017</v>
      </c>
      <c r="E50">
        <f>VLOOKUP(default_1!F121,Hoja1!$AD$1:$AE$176,2,FALSE)</f>
        <v>35</v>
      </c>
      <c r="F50" s="1" t="s">
        <v>923</v>
      </c>
      <c r="G50" t="s">
        <v>924</v>
      </c>
      <c r="H50" t="s">
        <v>105</v>
      </c>
      <c r="J50">
        <v>300000000</v>
      </c>
      <c r="K50">
        <v>60</v>
      </c>
      <c r="L50" t="s">
        <v>210</v>
      </c>
      <c r="M50" t="s">
        <v>127</v>
      </c>
      <c r="N50" t="s">
        <v>29</v>
      </c>
      <c r="O50">
        <v>0</v>
      </c>
      <c r="P50">
        <v>1</v>
      </c>
      <c r="Q50" t="s">
        <v>203</v>
      </c>
      <c r="R50">
        <v>0</v>
      </c>
      <c r="S50" t="s">
        <v>283</v>
      </c>
      <c r="T50" t="s">
        <v>1066</v>
      </c>
      <c r="U50" t="s">
        <v>510</v>
      </c>
      <c r="V50" t="s">
        <v>1573</v>
      </c>
      <c r="W50">
        <v>0</v>
      </c>
      <c r="Y50">
        <v>1</v>
      </c>
      <c r="AB50" t="s">
        <v>925</v>
      </c>
      <c r="AC50" t="s">
        <v>35</v>
      </c>
    </row>
    <row r="51" spans="1:29" x14ac:dyDescent="0.2">
      <c r="A51" t="s">
        <v>338</v>
      </c>
      <c r="B51" t="s">
        <v>170</v>
      </c>
      <c r="C51" t="s">
        <v>92</v>
      </c>
      <c r="D51">
        <v>2021</v>
      </c>
      <c r="E51">
        <f>VLOOKUP(default_1!F36,Hoja1!$AD$1:$AE$176,2,FALSE)</f>
        <v>15</v>
      </c>
      <c r="F51" s="1" t="s">
        <v>339</v>
      </c>
      <c r="G51" t="s">
        <v>340</v>
      </c>
      <c r="H51" t="s">
        <v>26</v>
      </c>
      <c r="I51" t="s">
        <v>1091</v>
      </c>
      <c r="J51">
        <v>542713</v>
      </c>
      <c r="K51">
        <v>30</v>
      </c>
      <c r="L51" t="s">
        <v>27</v>
      </c>
      <c r="M51" t="s">
        <v>341</v>
      </c>
      <c r="N51" t="s">
        <v>67</v>
      </c>
      <c r="O51">
        <v>0</v>
      </c>
      <c r="P51">
        <v>1</v>
      </c>
      <c r="Q51" t="s">
        <v>203</v>
      </c>
      <c r="R51">
        <v>0</v>
      </c>
      <c r="S51" t="s">
        <v>56</v>
      </c>
      <c r="T51" t="s">
        <v>1062</v>
      </c>
      <c r="U51" t="s">
        <v>342</v>
      </c>
      <c r="V51" t="s">
        <v>32</v>
      </c>
      <c r="W51">
        <v>0</v>
      </c>
      <c r="Y51">
        <v>1</v>
      </c>
      <c r="AA51" t="s">
        <v>168</v>
      </c>
      <c r="AB51" t="s">
        <v>343</v>
      </c>
      <c r="AC51" t="s">
        <v>35</v>
      </c>
    </row>
    <row r="52" spans="1:29" x14ac:dyDescent="0.2">
      <c r="A52" t="s">
        <v>277</v>
      </c>
      <c r="B52" t="s">
        <v>278</v>
      </c>
      <c r="C52" t="s">
        <v>279</v>
      </c>
      <c r="D52">
        <v>2023</v>
      </c>
      <c r="E52">
        <f>VLOOKUP(default_1!F28,Hoja1!$AD$1:$AE$176,2,FALSE)</f>
        <v>168</v>
      </c>
      <c r="F52" s="1" t="s">
        <v>280</v>
      </c>
      <c r="G52" t="s">
        <v>281</v>
      </c>
      <c r="H52" t="s">
        <v>26</v>
      </c>
      <c r="I52" t="s">
        <v>1092</v>
      </c>
      <c r="J52">
        <v>5900000</v>
      </c>
      <c r="K52">
        <v>31</v>
      </c>
      <c r="L52" t="s">
        <v>210</v>
      </c>
      <c r="M52" t="s">
        <v>282</v>
      </c>
      <c r="N52" t="s">
        <v>29</v>
      </c>
      <c r="O52">
        <v>0</v>
      </c>
      <c r="P52">
        <v>1</v>
      </c>
      <c r="Q52" t="s">
        <v>203</v>
      </c>
      <c r="R52">
        <v>0</v>
      </c>
      <c r="S52" t="s">
        <v>283</v>
      </c>
      <c r="T52" t="s">
        <v>1066</v>
      </c>
      <c r="U52" t="s">
        <v>284</v>
      </c>
      <c r="V52" t="s">
        <v>58</v>
      </c>
      <c r="W52">
        <v>0</v>
      </c>
      <c r="Y52">
        <v>1</v>
      </c>
      <c r="AA52" t="s">
        <v>285</v>
      </c>
      <c r="AB52" t="s">
        <v>434</v>
      </c>
      <c r="AC52" t="s">
        <v>35</v>
      </c>
    </row>
    <row r="53" spans="1:29" x14ac:dyDescent="0.2">
      <c r="A53" t="s">
        <v>461</v>
      </c>
      <c r="B53" t="s">
        <v>462</v>
      </c>
      <c r="C53" t="s">
        <v>463</v>
      </c>
      <c r="D53">
        <v>2021</v>
      </c>
      <c r="E53">
        <f>VLOOKUP(default_1!F53,Hoja1!$AD$1:$AE$176,2,FALSE)</f>
        <v>8</v>
      </c>
      <c r="F53" s="1" t="s">
        <v>464</v>
      </c>
      <c r="G53" t="s">
        <v>465</v>
      </c>
      <c r="H53" t="s">
        <v>26</v>
      </c>
      <c r="I53" t="s">
        <v>1087</v>
      </c>
      <c r="J53">
        <v>30620366</v>
      </c>
      <c r="K53">
        <v>7</v>
      </c>
      <c r="L53" t="s">
        <v>95</v>
      </c>
      <c r="M53" t="s">
        <v>28</v>
      </c>
      <c r="N53" t="s">
        <v>29</v>
      </c>
      <c r="O53">
        <v>0</v>
      </c>
      <c r="P53">
        <v>0</v>
      </c>
      <c r="Q53" t="s">
        <v>466</v>
      </c>
      <c r="R53">
        <v>0</v>
      </c>
      <c r="S53" t="s">
        <v>118</v>
      </c>
      <c r="T53" t="s">
        <v>1058</v>
      </c>
      <c r="U53" t="s">
        <v>467</v>
      </c>
      <c r="V53" t="s">
        <v>468</v>
      </c>
      <c r="W53">
        <v>0</v>
      </c>
      <c r="Y53">
        <v>1</v>
      </c>
      <c r="AA53" t="s">
        <v>469</v>
      </c>
      <c r="AB53" t="s">
        <v>434</v>
      </c>
      <c r="AC53" t="s">
        <v>316</v>
      </c>
    </row>
    <row r="54" spans="1:29" x14ac:dyDescent="0.2">
      <c r="A54" t="s">
        <v>691</v>
      </c>
      <c r="B54" t="s">
        <v>187</v>
      </c>
      <c r="C54" t="s">
        <v>49</v>
      </c>
      <c r="D54">
        <v>2020</v>
      </c>
      <c r="E54">
        <f>VLOOKUP(default_1!F85,Hoja1!$AD$1:$AE$176,2,FALSE)</f>
        <v>129</v>
      </c>
      <c r="F54" s="1" t="s">
        <v>692</v>
      </c>
      <c r="G54" t="s">
        <v>693</v>
      </c>
      <c r="H54" t="s">
        <v>105</v>
      </c>
      <c r="J54">
        <v>6300015</v>
      </c>
      <c r="K54">
        <v>5</v>
      </c>
      <c r="L54" t="s">
        <v>95</v>
      </c>
      <c r="M54" t="s">
        <v>54</v>
      </c>
      <c r="N54" t="s">
        <v>29</v>
      </c>
      <c r="O54">
        <v>1</v>
      </c>
      <c r="P54">
        <v>1</v>
      </c>
      <c r="R54">
        <v>0</v>
      </c>
      <c r="S54" t="s">
        <v>56</v>
      </c>
      <c r="T54" t="s">
        <v>1063</v>
      </c>
      <c r="U54" t="s">
        <v>481</v>
      </c>
      <c r="V54" t="s">
        <v>481</v>
      </c>
      <c r="W54">
        <v>0</v>
      </c>
      <c r="Y54">
        <v>1</v>
      </c>
      <c r="Z54" t="s">
        <v>694</v>
      </c>
      <c r="AA54" t="s">
        <v>375</v>
      </c>
      <c r="AB54" t="s">
        <v>695</v>
      </c>
      <c r="AC54" t="s">
        <v>35</v>
      </c>
    </row>
    <row r="55" spans="1:29" x14ac:dyDescent="0.2">
      <c r="A55" t="s">
        <v>1020</v>
      </c>
      <c r="B55" t="s">
        <v>1021</v>
      </c>
      <c r="D55">
        <v>2014</v>
      </c>
      <c r="E55">
        <f>VLOOKUP(default_1!F138,Hoja1!$AD$1:$AE$176,2,FALSE)</f>
        <v>5</v>
      </c>
      <c r="F55" s="1" t="s">
        <v>1022</v>
      </c>
      <c r="G55" t="s">
        <v>1023</v>
      </c>
      <c r="H55" t="s">
        <v>26</v>
      </c>
      <c r="I55" t="s">
        <v>1087</v>
      </c>
      <c r="J55">
        <v>105000000</v>
      </c>
      <c r="K55">
        <v>3</v>
      </c>
      <c r="L55" t="s">
        <v>866</v>
      </c>
      <c r="M55" t="s">
        <v>84</v>
      </c>
      <c r="N55" t="s">
        <v>29</v>
      </c>
      <c r="O55">
        <v>1</v>
      </c>
      <c r="P55">
        <v>1</v>
      </c>
      <c r="R55">
        <v>0</v>
      </c>
      <c r="S55" t="s">
        <v>118</v>
      </c>
      <c r="T55" t="s">
        <v>1058</v>
      </c>
      <c r="U55" t="s">
        <v>1492</v>
      </c>
      <c r="V55" t="s">
        <v>130</v>
      </c>
      <c r="W55">
        <v>0</v>
      </c>
      <c r="Y55">
        <v>1</v>
      </c>
      <c r="AA55" t="s">
        <v>1024</v>
      </c>
      <c r="AC55" t="s">
        <v>122</v>
      </c>
    </row>
    <row r="56" spans="1:29" x14ac:dyDescent="0.2">
      <c r="A56" t="s">
        <v>470</v>
      </c>
      <c r="B56" t="s">
        <v>37</v>
      </c>
      <c r="C56" t="s">
        <v>49</v>
      </c>
      <c r="D56">
        <v>2021</v>
      </c>
      <c r="E56">
        <f>VLOOKUP(default_1!F54,Hoja1!$AD$1:$AE$176,2,FALSE)</f>
        <v>9</v>
      </c>
      <c r="F56" s="1" t="s">
        <v>471</v>
      </c>
      <c r="G56" t="s">
        <v>472</v>
      </c>
      <c r="H56" t="s">
        <v>26</v>
      </c>
      <c r="I56" t="s">
        <v>1104</v>
      </c>
      <c r="J56">
        <v>23625000</v>
      </c>
      <c r="K56">
        <v>35</v>
      </c>
      <c r="L56" t="s">
        <v>41</v>
      </c>
      <c r="M56" t="s">
        <v>320</v>
      </c>
      <c r="N56" t="s">
        <v>29</v>
      </c>
      <c r="O56">
        <v>0</v>
      </c>
      <c r="P56">
        <v>0</v>
      </c>
      <c r="Q56" t="s">
        <v>313</v>
      </c>
      <c r="R56">
        <v>0</v>
      </c>
      <c r="S56" t="s">
        <v>118</v>
      </c>
      <c r="T56" t="s">
        <v>1058</v>
      </c>
      <c r="U56" t="s">
        <v>1551</v>
      </c>
      <c r="V56" t="s">
        <v>473</v>
      </c>
      <c r="W56">
        <v>0</v>
      </c>
      <c r="Y56">
        <v>1</v>
      </c>
      <c r="Z56" t="s">
        <v>474</v>
      </c>
      <c r="AA56" t="s">
        <v>475</v>
      </c>
      <c r="AC56" t="s">
        <v>122</v>
      </c>
    </row>
    <row r="57" spans="1:29" x14ac:dyDescent="0.2">
      <c r="A57" t="s">
        <v>732</v>
      </c>
      <c r="B57" t="s">
        <v>37</v>
      </c>
      <c r="C57" t="s">
        <v>250</v>
      </c>
      <c r="D57">
        <v>2019</v>
      </c>
      <c r="E57">
        <f>VLOOKUP(default_1!F92,Hoja1!$AD$1:$AE$176,2,FALSE)</f>
        <v>42</v>
      </c>
      <c r="F57" s="1" t="s">
        <v>733</v>
      </c>
      <c r="G57" t="s">
        <v>734</v>
      </c>
      <c r="H57" t="s">
        <v>26</v>
      </c>
      <c r="I57" t="s">
        <v>1092</v>
      </c>
      <c r="J57">
        <v>300000000</v>
      </c>
      <c r="K57">
        <v>2118</v>
      </c>
      <c r="L57" t="s">
        <v>735</v>
      </c>
      <c r="M57" t="s">
        <v>1561</v>
      </c>
      <c r="N57" t="s">
        <v>158</v>
      </c>
      <c r="O57">
        <v>1</v>
      </c>
      <c r="P57">
        <v>1</v>
      </c>
      <c r="R57">
        <v>0</v>
      </c>
      <c r="S57" t="s">
        <v>118</v>
      </c>
      <c r="T57" t="s">
        <v>1058</v>
      </c>
      <c r="U57" t="s">
        <v>1490</v>
      </c>
      <c r="V57" t="s">
        <v>736</v>
      </c>
      <c r="W57">
        <v>0</v>
      </c>
      <c r="Y57">
        <v>1</v>
      </c>
      <c r="AA57" t="s">
        <v>737</v>
      </c>
      <c r="AB57" t="s">
        <v>405</v>
      </c>
      <c r="AC57" t="s">
        <v>122</v>
      </c>
    </row>
    <row r="58" spans="1:29" x14ac:dyDescent="0.2">
      <c r="A58" t="s">
        <v>223</v>
      </c>
      <c r="B58" t="s">
        <v>37</v>
      </c>
      <c r="C58" t="s">
        <v>224</v>
      </c>
      <c r="D58">
        <v>2021</v>
      </c>
      <c r="E58">
        <f>VLOOKUP(default_1!F51,Hoja1!$AD$1:$AE$176,2,FALSE)</f>
        <v>9</v>
      </c>
      <c r="F58" s="1" t="s">
        <v>448</v>
      </c>
      <c r="G58" t="s">
        <v>449</v>
      </c>
      <c r="H58" t="s">
        <v>26</v>
      </c>
      <c r="I58" t="s">
        <v>1092</v>
      </c>
      <c r="J58">
        <v>23450000</v>
      </c>
      <c r="K58">
        <v>365</v>
      </c>
      <c r="L58" t="s">
        <v>135</v>
      </c>
      <c r="M58" t="s">
        <v>227</v>
      </c>
      <c r="N58" t="s">
        <v>29</v>
      </c>
      <c r="O58">
        <v>1</v>
      </c>
      <c r="P58">
        <v>1</v>
      </c>
      <c r="R58">
        <v>0</v>
      </c>
      <c r="S58" t="s">
        <v>118</v>
      </c>
      <c r="T58" t="s">
        <v>1058</v>
      </c>
      <c r="U58" t="s">
        <v>450</v>
      </c>
      <c r="V58" t="s">
        <v>1577</v>
      </c>
      <c r="W58">
        <v>0</v>
      </c>
      <c r="Y58">
        <v>0</v>
      </c>
      <c r="Z58" t="s">
        <v>452</v>
      </c>
      <c r="AA58" t="s">
        <v>453</v>
      </c>
      <c r="AC58" t="s">
        <v>122</v>
      </c>
    </row>
    <row r="59" spans="1:29" x14ac:dyDescent="0.2">
      <c r="A59" t="s">
        <v>654</v>
      </c>
      <c r="B59" t="s">
        <v>655</v>
      </c>
      <c r="C59" t="s">
        <v>224</v>
      </c>
      <c r="D59">
        <v>2020</v>
      </c>
      <c r="E59">
        <f>VLOOKUP(default_1!F79,Hoja1!$AD$1:$AE$176,2,FALSE)</f>
        <v>286</v>
      </c>
      <c r="F59" s="1" t="s">
        <v>656</v>
      </c>
      <c r="G59" t="s">
        <v>657</v>
      </c>
      <c r="H59" t="s">
        <v>105</v>
      </c>
      <c r="J59">
        <v>43000000</v>
      </c>
      <c r="K59">
        <v>30</v>
      </c>
      <c r="L59" t="s">
        <v>210</v>
      </c>
      <c r="M59" t="s">
        <v>54</v>
      </c>
      <c r="N59" t="s">
        <v>29</v>
      </c>
      <c r="O59">
        <v>0</v>
      </c>
      <c r="P59">
        <v>1</v>
      </c>
      <c r="Q59" t="s">
        <v>658</v>
      </c>
      <c r="R59">
        <v>0</v>
      </c>
      <c r="S59" t="s">
        <v>149</v>
      </c>
      <c r="T59" t="s">
        <v>1060</v>
      </c>
      <c r="U59" t="s">
        <v>1540</v>
      </c>
      <c r="V59" t="s">
        <v>659</v>
      </c>
      <c r="W59">
        <v>0</v>
      </c>
      <c r="Y59">
        <v>0</v>
      </c>
      <c r="AA59" t="s">
        <v>605</v>
      </c>
      <c r="AC59" t="s">
        <v>122</v>
      </c>
    </row>
    <row r="60" spans="1:29" x14ac:dyDescent="0.2">
      <c r="A60" t="s">
        <v>833</v>
      </c>
      <c r="B60" t="s">
        <v>585</v>
      </c>
      <c r="C60" t="s">
        <v>92</v>
      </c>
      <c r="D60">
        <v>2018</v>
      </c>
      <c r="E60">
        <f>VLOOKUP(default_1!F107,Hoja1!$AD$1:$AE$176,2,FALSE)</f>
        <v>2</v>
      </c>
      <c r="F60" s="1" t="s">
        <v>834</v>
      </c>
      <c r="G60" t="s">
        <v>835</v>
      </c>
      <c r="H60" t="s">
        <v>26</v>
      </c>
      <c r="I60" t="s">
        <v>1087</v>
      </c>
      <c r="J60">
        <v>2190000000</v>
      </c>
      <c r="K60">
        <v>365</v>
      </c>
      <c r="L60" t="s">
        <v>210</v>
      </c>
      <c r="M60" t="s">
        <v>127</v>
      </c>
      <c r="N60" t="s">
        <v>67</v>
      </c>
      <c r="O60">
        <v>1</v>
      </c>
      <c r="P60">
        <v>1</v>
      </c>
      <c r="R60">
        <v>0</v>
      </c>
      <c r="S60" t="s">
        <v>118</v>
      </c>
      <c r="T60" t="s">
        <v>1058</v>
      </c>
      <c r="U60" t="s">
        <v>836</v>
      </c>
      <c r="V60" t="s">
        <v>32</v>
      </c>
      <c r="W60">
        <v>0</v>
      </c>
      <c r="Y60">
        <v>0</v>
      </c>
      <c r="Z60" t="s">
        <v>837</v>
      </c>
      <c r="AC60" t="s">
        <v>122</v>
      </c>
    </row>
    <row r="61" spans="1:29" x14ac:dyDescent="0.2">
      <c r="A61" t="s">
        <v>441</v>
      </c>
      <c r="B61" t="s">
        <v>306</v>
      </c>
      <c r="C61" t="s">
        <v>224</v>
      </c>
      <c r="D61">
        <v>2021</v>
      </c>
      <c r="E61">
        <f>VLOOKUP(default_1!F50,Hoja1!$AD$1:$AE$176,2,FALSE)</f>
        <v>95</v>
      </c>
      <c r="F61" s="1" t="s">
        <v>442</v>
      </c>
      <c r="G61" t="s">
        <v>443</v>
      </c>
      <c r="H61" t="s">
        <v>147</v>
      </c>
      <c r="J61">
        <v>12250983</v>
      </c>
      <c r="K61">
        <v>30</v>
      </c>
      <c r="L61" t="s">
        <v>41</v>
      </c>
      <c r="M61" t="s">
        <v>444</v>
      </c>
      <c r="N61" t="s">
        <v>158</v>
      </c>
      <c r="O61">
        <v>0</v>
      </c>
      <c r="P61">
        <v>1</v>
      </c>
      <c r="Q61" t="s">
        <v>203</v>
      </c>
      <c r="R61">
        <v>0</v>
      </c>
      <c r="S61" t="s">
        <v>30</v>
      </c>
      <c r="T61" t="s">
        <v>1058</v>
      </c>
      <c r="U61" t="s">
        <v>445</v>
      </c>
      <c r="V61" t="s">
        <v>446</v>
      </c>
      <c r="W61">
        <v>0</v>
      </c>
      <c r="Y61">
        <v>0</v>
      </c>
      <c r="AB61" t="s">
        <v>447</v>
      </c>
      <c r="AC61" t="s">
        <v>35</v>
      </c>
    </row>
    <row r="62" spans="1:29" x14ac:dyDescent="0.2">
      <c r="A62" t="s">
        <v>205</v>
      </c>
      <c r="B62" t="s">
        <v>206</v>
      </c>
      <c r="C62" t="s">
        <v>207</v>
      </c>
      <c r="D62">
        <v>2023</v>
      </c>
      <c r="E62">
        <f>VLOOKUP(default_1!F20,Hoja1!$AD$1:$AE$176,2,FALSE)</f>
        <v>29</v>
      </c>
      <c r="F62" s="1" t="s">
        <v>208</v>
      </c>
      <c r="G62" t="s">
        <v>209</v>
      </c>
      <c r="H62" t="s">
        <v>26</v>
      </c>
      <c r="I62" t="s">
        <v>1087</v>
      </c>
      <c r="J62">
        <v>769413168</v>
      </c>
      <c r="K62">
        <v>120</v>
      </c>
      <c r="L62" t="s">
        <v>210</v>
      </c>
      <c r="M62" t="s">
        <v>28</v>
      </c>
      <c r="N62" t="s">
        <v>29</v>
      </c>
      <c r="O62">
        <v>1</v>
      </c>
      <c r="P62">
        <v>1</v>
      </c>
      <c r="R62">
        <v>0</v>
      </c>
      <c r="S62" t="s">
        <v>118</v>
      </c>
      <c r="T62" t="s">
        <v>1060</v>
      </c>
      <c r="U62" t="s">
        <v>1533</v>
      </c>
      <c r="V62" t="s">
        <v>1574</v>
      </c>
      <c r="W62">
        <v>0</v>
      </c>
      <c r="Y62">
        <v>1</v>
      </c>
      <c r="Z62" t="s">
        <v>212</v>
      </c>
      <c r="AA62" t="s">
        <v>213</v>
      </c>
      <c r="AC62" t="s">
        <v>35</v>
      </c>
    </row>
    <row r="63" spans="1:29" x14ac:dyDescent="0.2">
      <c r="A63" t="s">
        <v>322</v>
      </c>
      <c r="B63" t="s">
        <v>114</v>
      </c>
      <c r="C63" t="s">
        <v>323</v>
      </c>
      <c r="D63">
        <v>2021</v>
      </c>
      <c r="E63">
        <f>VLOOKUP(default_1!F34,Hoja1!$AD$1:$AE$176,2,FALSE)</f>
        <v>5</v>
      </c>
      <c r="F63" s="1" t="s">
        <v>324</v>
      </c>
      <c r="G63" t="s">
        <v>325</v>
      </c>
      <c r="H63" t="s">
        <v>105</v>
      </c>
      <c r="J63">
        <v>6040000</v>
      </c>
      <c r="K63">
        <v>7</v>
      </c>
      <c r="L63" t="s">
        <v>27</v>
      </c>
      <c r="M63" t="s">
        <v>326</v>
      </c>
      <c r="N63" t="s">
        <v>29</v>
      </c>
      <c r="O63">
        <v>0</v>
      </c>
      <c r="P63">
        <v>1</v>
      </c>
      <c r="Q63" t="s">
        <v>43</v>
      </c>
      <c r="R63">
        <v>0</v>
      </c>
      <c r="S63" t="s">
        <v>118</v>
      </c>
      <c r="T63" t="s">
        <v>89</v>
      </c>
      <c r="U63" t="s">
        <v>327</v>
      </c>
      <c r="V63" t="s">
        <v>130</v>
      </c>
      <c r="W63">
        <v>0</v>
      </c>
      <c r="Y63">
        <v>1</v>
      </c>
      <c r="Z63" t="s">
        <v>328</v>
      </c>
      <c r="AA63" t="s">
        <v>329</v>
      </c>
      <c r="AC63" t="s">
        <v>122</v>
      </c>
    </row>
    <row r="64" spans="1:29" x14ac:dyDescent="0.2">
      <c r="A64" t="s">
        <v>223</v>
      </c>
      <c r="B64" t="s">
        <v>102</v>
      </c>
      <c r="C64" t="s">
        <v>224</v>
      </c>
      <c r="D64">
        <v>2022</v>
      </c>
      <c r="E64">
        <f>VLOOKUP(default_1!F22,Hoja1!$AD$1:$AE$176,2,FALSE)</f>
        <v>7</v>
      </c>
      <c r="F64" s="1" t="s">
        <v>225</v>
      </c>
      <c r="G64" t="s">
        <v>226</v>
      </c>
      <c r="H64" t="s">
        <v>26</v>
      </c>
      <c r="I64" t="s">
        <v>1091</v>
      </c>
      <c r="J64">
        <v>23510000</v>
      </c>
      <c r="K64">
        <v>364</v>
      </c>
      <c r="L64" t="s">
        <v>135</v>
      </c>
      <c r="M64" t="s">
        <v>227</v>
      </c>
      <c r="N64" t="s">
        <v>29</v>
      </c>
      <c r="O64">
        <v>1</v>
      </c>
      <c r="P64">
        <v>1</v>
      </c>
      <c r="R64">
        <v>0</v>
      </c>
      <c r="S64" t="s">
        <v>118</v>
      </c>
      <c r="T64" t="s">
        <v>1058</v>
      </c>
      <c r="U64" t="s">
        <v>228</v>
      </c>
      <c r="V64" t="s">
        <v>32</v>
      </c>
      <c r="W64">
        <v>0</v>
      </c>
      <c r="Y64">
        <v>0</v>
      </c>
      <c r="Z64" t="s">
        <v>229</v>
      </c>
      <c r="AA64" t="s">
        <v>230</v>
      </c>
      <c r="AC64" t="s">
        <v>122</v>
      </c>
    </row>
    <row r="65" spans="1:29" x14ac:dyDescent="0.2">
      <c r="A65" t="s">
        <v>248</v>
      </c>
      <c r="B65" t="s">
        <v>249</v>
      </c>
      <c r="C65" t="s">
        <v>250</v>
      </c>
      <c r="D65">
        <v>2022</v>
      </c>
      <c r="E65">
        <f>VLOOKUP(default_1!F25,Hoja1!$AD$1:$AE$176,2,FALSE)</f>
        <v>123</v>
      </c>
      <c r="F65" s="1" t="s">
        <v>251</v>
      </c>
      <c r="G65" t="s">
        <v>252</v>
      </c>
      <c r="H65" t="s">
        <v>52</v>
      </c>
      <c r="J65">
        <v>2700000</v>
      </c>
      <c r="K65">
        <v>35</v>
      </c>
      <c r="L65" t="s">
        <v>253</v>
      </c>
      <c r="M65" t="s">
        <v>54</v>
      </c>
      <c r="N65" t="s">
        <v>29</v>
      </c>
      <c r="O65">
        <v>0</v>
      </c>
      <c r="P65">
        <v>1</v>
      </c>
      <c r="Q65" t="s">
        <v>254</v>
      </c>
      <c r="R65">
        <v>0</v>
      </c>
      <c r="S65" t="s">
        <v>118</v>
      </c>
      <c r="T65" t="s">
        <v>1060</v>
      </c>
      <c r="U65" t="s">
        <v>255</v>
      </c>
      <c r="V65" t="s">
        <v>32</v>
      </c>
      <c r="W65">
        <v>0</v>
      </c>
      <c r="Y65">
        <v>1</v>
      </c>
      <c r="AA65" t="s">
        <v>140</v>
      </c>
      <c r="AC65" t="s">
        <v>122</v>
      </c>
    </row>
    <row r="66" spans="1:29" x14ac:dyDescent="0.2">
      <c r="A66" t="s">
        <v>132</v>
      </c>
      <c r="B66" t="s">
        <v>91</v>
      </c>
      <c r="C66" t="s">
        <v>124</v>
      </c>
      <c r="D66">
        <v>2022</v>
      </c>
      <c r="E66">
        <f>VLOOKUP(default_1!F12,Hoja1!$AD$1:$AE$176,2,FALSE)</f>
        <v>6</v>
      </c>
      <c r="F66" s="1" t="s">
        <v>133</v>
      </c>
      <c r="G66" t="s">
        <v>134</v>
      </c>
      <c r="H66" t="s">
        <v>105</v>
      </c>
      <c r="J66">
        <v>8160000</v>
      </c>
      <c r="K66">
        <v>168</v>
      </c>
      <c r="L66" t="s">
        <v>135</v>
      </c>
      <c r="M66" t="s">
        <v>136</v>
      </c>
      <c r="N66" t="s">
        <v>29</v>
      </c>
      <c r="O66">
        <v>1</v>
      </c>
      <c r="P66">
        <v>1</v>
      </c>
      <c r="R66">
        <v>0</v>
      </c>
      <c r="S66" t="s">
        <v>118</v>
      </c>
      <c r="T66" t="s">
        <v>1058</v>
      </c>
      <c r="U66" t="s">
        <v>137</v>
      </c>
      <c r="V66" t="s">
        <v>1592</v>
      </c>
      <c r="W66">
        <v>0</v>
      </c>
      <c r="Y66">
        <v>0</v>
      </c>
      <c r="Z66" t="s">
        <v>139</v>
      </c>
      <c r="AA66" t="s">
        <v>140</v>
      </c>
      <c r="AB66" t="s">
        <v>141</v>
      </c>
      <c r="AC66" t="s">
        <v>35</v>
      </c>
    </row>
    <row r="67" spans="1:29" x14ac:dyDescent="0.2">
      <c r="A67" t="s">
        <v>550</v>
      </c>
      <c r="B67" t="s">
        <v>22</v>
      </c>
      <c r="C67" t="s">
        <v>551</v>
      </c>
      <c r="D67">
        <v>2020</v>
      </c>
      <c r="E67">
        <f>VLOOKUP(default_1!F65,Hoja1!$AD$1:$AE$176,2,FALSE)</f>
        <v>22</v>
      </c>
      <c r="F67" s="1" t="s">
        <v>552</v>
      </c>
      <c r="G67" t="s">
        <v>553</v>
      </c>
      <c r="H67" t="s">
        <v>105</v>
      </c>
      <c r="J67">
        <v>366427</v>
      </c>
      <c r="K67">
        <v>1</v>
      </c>
      <c r="L67" t="s">
        <v>53</v>
      </c>
      <c r="M67" t="s">
        <v>28</v>
      </c>
      <c r="N67" t="s">
        <v>29</v>
      </c>
      <c r="O67">
        <v>1</v>
      </c>
      <c r="P67">
        <v>1</v>
      </c>
      <c r="R67">
        <v>0</v>
      </c>
      <c r="S67" t="s">
        <v>283</v>
      </c>
      <c r="T67" t="s">
        <v>1077</v>
      </c>
      <c r="U67" t="s">
        <v>1553</v>
      </c>
      <c r="V67" t="s">
        <v>1435</v>
      </c>
      <c r="W67">
        <v>0</v>
      </c>
      <c r="Y67">
        <v>0</v>
      </c>
      <c r="AB67" t="s">
        <v>141</v>
      </c>
      <c r="AC67" t="s">
        <v>35</v>
      </c>
    </row>
    <row r="68" spans="1:29" x14ac:dyDescent="0.2">
      <c r="A68" t="s">
        <v>1025</v>
      </c>
      <c r="B68" t="s">
        <v>170</v>
      </c>
      <c r="C68" t="s">
        <v>92</v>
      </c>
      <c r="D68">
        <v>2013</v>
      </c>
      <c r="E68">
        <f>VLOOKUP(default_1!F139,Hoja1!$AD$1:$AE$176,2,FALSE)</f>
        <v>2</v>
      </c>
      <c r="F68" s="1" t="s">
        <v>1026</v>
      </c>
      <c r="G68" t="s">
        <v>1027</v>
      </c>
      <c r="H68" t="s">
        <v>147</v>
      </c>
      <c r="J68">
        <v>2100285</v>
      </c>
      <c r="K68">
        <v>61</v>
      </c>
      <c r="L68" t="s">
        <v>972</v>
      </c>
      <c r="M68" t="s">
        <v>1028</v>
      </c>
      <c r="N68" t="s">
        <v>29</v>
      </c>
      <c r="O68">
        <v>1</v>
      </c>
      <c r="P68">
        <v>1</v>
      </c>
      <c r="R68">
        <v>0</v>
      </c>
      <c r="S68" t="s">
        <v>283</v>
      </c>
      <c r="T68" t="s">
        <v>1066</v>
      </c>
      <c r="U68" t="s">
        <v>1493</v>
      </c>
      <c r="V68" t="s">
        <v>176</v>
      </c>
      <c r="W68">
        <v>1</v>
      </c>
      <c r="X68" t="s">
        <v>1029</v>
      </c>
      <c r="Y68">
        <v>1</v>
      </c>
      <c r="Z68" t="s">
        <v>1030</v>
      </c>
      <c r="AA68" t="s">
        <v>1031</v>
      </c>
      <c r="AB68" t="s">
        <v>141</v>
      </c>
      <c r="AC68" t="s">
        <v>35</v>
      </c>
    </row>
    <row r="69" spans="1:29" x14ac:dyDescent="0.2">
      <c r="A69" t="s">
        <v>113</v>
      </c>
      <c r="B69" t="s">
        <v>114</v>
      </c>
      <c r="C69" t="s">
        <v>115</v>
      </c>
      <c r="D69">
        <v>2022</v>
      </c>
      <c r="E69">
        <f>VLOOKUP(default_1!F10,Hoja1!$AD$1:$AE$176,2,FALSE)</f>
        <v>1</v>
      </c>
      <c r="F69" s="1" t="s">
        <v>116</v>
      </c>
      <c r="G69" t="s">
        <v>117</v>
      </c>
      <c r="H69" t="s">
        <v>105</v>
      </c>
      <c r="J69">
        <v>5810000</v>
      </c>
      <c r="K69">
        <v>120</v>
      </c>
      <c r="L69" t="s">
        <v>27</v>
      </c>
      <c r="M69" t="s">
        <v>54</v>
      </c>
      <c r="N69" t="s">
        <v>29</v>
      </c>
      <c r="O69">
        <v>0</v>
      </c>
      <c r="P69">
        <v>1</v>
      </c>
      <c r="Q69" t="s">
        <v>43</v>
      </c>
      <c r="R69">
        <v>0</v>
      </c>
      <c r="S69" t="s">
        <v>118</v>
      </c>
      <c r="T69" t="s">
        <v>1058</v>
      </c>
      <c r="U69" t="s">
        <v>119</v>
      </c>
      <c r="V69" t="s">
        <v>58</v>
      </c>
      <c r="W69">
        <v>0</v>
      </c>
      <c r="Y69">
        <v>1</v>
      </c>
      <c r="Z69" t="s">
        <v>120</v>
      </c>
      <c r="AA69" t="s">
        <v>121</v>
      </c>
      <c r="AC69" t="s">
        <v>122</v>
      </c>
    </row>
    <row r="70" spans="1:29" x14ac:dyDescent="0.2">
      <c r="A70" t="s">
        <v>36</v>
      </c>
      <c r="B70" t="s">
        <v>37</v>
      </c>
      <c r="C70" t="s">
        <v>38</v>
      </c>
      <c r="D70">
        <v>2023</v>
      </c>
      <c r="E70">
        <f>VLOOKUP(default_1!F3,Hoja1!$AD$1:$AE$176,2,FALSE)</f>
        <v>7</v>
      </c>
      <c r="F70" s="1" t="s">
        <v>39</v>
      </c>
      <c r="G70" t="s">
        <v>40</v>
      </c>
      <c r="H70" t="s">
        <v>26</v>
      </c>
      <c r="I70" t="s">
        <v>1086</v>
      </c>
      <c r="J70">
        <v>509857723</v>
      </c>
      <c r="K70">
        <v>244</v>
      </c>
      <c r="L70" t="s">
        <v>41</v>
      </c>
      <c r="M70" t="s">
        <v>42</v>
      </c>
      <c r="N70" t="s">
        <v>29</v>
      </c>
      <c r="O70">
        <v>0</v>
      </c>
      <c r="P70">
        <v>1</v>
      </c>
      <c r="Q70" t="s">
        <v>43</v>
      </c>
      <c r="R70">
        <v>0</v>
      </c>
      <c r="S70" t="s">
        <v>56</v>
      </c>
      <c r="T70" t="s">
        <v>1059</v>
      </c>
      <c r="U70" t="s">
        <v>45</v>
      </c>
      <c r="V70" t="s">
        <v>1578</v>
      </c>
      <c r="W70">
        <v>0</v>
      </c>
      <c r="Y70">
        <v>0</v>
      </c>
      <c r="Z70" t="s">
        <v>47</v>
      </c>
      <c r="AC70" t="s">
        <v>35</v>
      </c>
    </row>
    <row r="71" spans="1:29" x14ac:dyDescent="0.2">
      <c r="A71" t="s">
        <v>239</v>
      </c>
      <c r="B71" t="s">
        <v>102</v>
      </c>
      <c r="C71" t="s">
        <v>38</v>
      </c>
      <c r="D71">
        <v>2022</v>
      </c>
      <c r="E71">
        <f>VLOOKUP(default_1!F24,Hoja1!$AD$1:$AE$176,2,FALSE)</f>
        <v>10</v>
      </c>
      <c r="F71" s="1" t="s">
        <v>240</v>
      </c>
      <c r="G71" t="s">
        <v>241</v>
      </c>
      <c r="H71" t="s">
        <v>105</v>
      </c>
      <c r="J71">
        <v>1956000000</v>
      </c>
      <c r="K71">
        <v>164</v>
      </c>
      <c r="L71" t="s">
        <v>242</v>
      </c>
      <c r="M71" t="s">
        <v>28</v>
      </c>
      <c r="N71" t="s">
        <v>29</v>
      </c>
      <c r="O71">
        <v>1</v>
      </c>
      <c r="P71">
        <v>1</v>
      </c>
      <c r="R71">
        <v>0</v>
      </c>
      <c r="S71" t="s">
        <v>816</v>
      </c>
      <c r="T71" t="s">
        <v>1065</v>
      </c>
      <c r="U71" t="s">
        <v>243</v>
      </c>
      <c r="V71" t="s">
        <v>244</v>
      </c>
      <c r="W71">
        <v>0</v>
      </c>
      <c r="Y71">
        <v>1</v>
      </c>
      <c r="Z71" t="s">
        <v>245</v>
      </c>
      <c r="AA71" t="s">
        <v>246</v>
      </c>
      <c r="AB71" t="s">
        <v>247</v>
      </c>
      <c r="AC71" t="s">
        <v>35</v>
      </c>
    </row>
    <row r="72" spans="1:29" x14ac:dyDescent="0.2">
      <c r="A72" t="s">
        <v>621</v>
      </c>
      <c r="B72" t="s">
        <v>622</v>
      </c>
      <c r="C72" t="s">
        <v>623</v>
      </c>
      <c r="D72">
        <v>2020</v>
      </c>
      <c r="E72">
        <f>VLOOKUP(default_1!F75,Hoja1!$AD$1:$AE$176,2,FALSE)</f>
        <v>146</v>
      </c>
      <c r="F72" s="1" t="s">
        <v>624</v>
      </c>
      <c r="G72" t="s">
        <v>625</v>
      </c>
      <c r="H72" t="s">
        <v>26</v>
      </c>
      <c r="I72" t="s">
        <v>1087</v>
      </c>
      <c r="J72">
        <v>51800000</v>
      </c>
      <c r="K72">
        <v>7</v>
      </c>
      <c r="L72" t="s">
        <v>53</v>
      </c>
      <c r="M72" t="s">
        <v>127</v>
      </c>
      <c r="N72" t="s">
        <v>67</v>
      </c>
      <c r="O72">
        <v>0</v>
      </c>
      <c r="P72">
        <v>1</v>
      </c>
      <c r="Q72" t="s">
        <v>626</v>
      </c>
      <c r="R72">
        <v>0</v>
      </c>
      <c r="S72" t="s">
        <v>108</v>
      </c>
      <c r="T72" t="s">
        <v>1060</v>
      </c>
      <c r="U72" t="s">
        <v>627</v>
      </c>
      <c r="V72" t="s">
        <v>628</v>
      </c>
      <c r="W72">
        <v>0</v>
      </c>
      <c r="Y72">
        <v>1</v>
      </c>
      <c r="Z72" t="s">
        <v>629</v>
      </c>
      <c r="AA72" t="s">
        <v>420</v>
      </c>
      <c r="AB72" t="s">
        <v>1083</v>
      </c>
      <c r="AC72" t="s">
        <v>35</v>
      </c>
    </row>
    <row r="73" spans="1:29" x14ac:dyDescent="0.2">
      <c r="A73" t="s">
        <v>528</v>
      </c>
      <c r="B73" t="s">
        <v>529</v>
      </c>
      <c r="C73" t="s">
        <v>530</v>
      </c>
      <c r="D73">
        <v>2020</v>
      </c>
      <c r="E73">
        <f>VLOOKUP(default_1!F111,Hoja1!$AD$1:$AE$176,2,FALSE)</f>
        <v>6</v>
      </c>
      <c r="F73" s="1" t="s">
        <v>531</v>
      </c>
      <c r="G73" t="s">
        <v>532</v>
      </c>
      <c r="H73" t="s">
        <v>26</v>
      </c>
      <c r="I73" t="s">
        <v>1106</v>
      </c>
      <c r="J73">
        <v>588000000</v>
      </c>
      <c r="K73">
        <v>84</v>
      </c>
      <c r="L73" t="s">
        <v>242</v>
      </c>
      <c r="M73" t="s">
        <v>320</v>
      </c>
      <c r="N73" t="s">
        <v>29</v>
      </c>
      <c r="O73">
        <v>1</v>
      </c>
      <c r="P73">
        <v>1</v>
      </c>
      <c r="R73">
        <v>0</v>
      </c>
      <c r="S73" t="s">
        <v>118</v>
      </c>
      <c r="T73" t="s">
        <v>1058</v>
      </c>
      <c r="U73" t="s">
        <v>533</v>
      </c>
      <c r="V73" t="s">
        <v>32</v>
      </c>
      <c r="W73">
        <v>0</v>
      </c>
      <c r="X73" t="s">
        <v>534</v>
      </c>
      <c r="Y73">
        <v>1</v>
      </c>
      <c r="Z73" t="s">
        <v>535</v>
      </c>
      <c r="AA73" t="s">
        <v>536</v>
      </c>
      <c r="AC73" t="s">
        <v>35</v>
      </c>
    </row>
    <row r="74" spans="1:29" x14ac:dyDescent="0.2">
      <c r="A74" t="s">
        <v>368</v>
      </c>
      <c r="B74" t="s">
        <v>170</v>
      </c>
      <c r="C74" t="s">
        <v>124</v>
      </c>
      <c r="D74">
        <v>2021</v>
      </c>
      <c r="E74">
        <f>VLOOKUP(default_1!F109,Hoja1!$AD$1:$AE$176,2,FALSE)</f>
        <v>16</v>
      </c>
      <c r="F74" s="1" t="s">
        <v>369</v>
      </c>
      <c r="G74" t="s">
        <v>370</v>
      </c>
      <c r="H74" t="s">
        <v>105</v>
      </c>
      <c r="K74">
        <v>270</v>
      </c>
      <c r="L74" t="s">
        <v>41</v>
      </c>
      <c r="M74" t="s">
        <v>371</v>
      </c>
      <c r="N74" t="s">
        <v>29</v>
      </c>
      <c r="O74">
        <v>1</v>
      </c>
      <c r="P74">
        <v>1</v>
      </c>
      <c r="R74">
        <v>0</v>
      </c>
      <c r="S74" t="s">
        <v>118</v>
      </c>
      <c r="T74" t="s">
        <v>1060</v>
      </c>
      <c r="U74" t="s">
        <v>372</v>
      </c>
      <c r="V74" t="s">
        <v>373</v>
      </c>
      <c r="W74">
        <v>0</v>
      </c>
      <c r="Y74">
        <v>1</v>
      </c>
      <c r="Z74" t="s">
        <v>374</v>
      </c>
      <c r="AA74" t="s">
        <v>375</v>
      </c>
      <c r="AC74" t="s">
        <v>35</v>
      </c>
    </row>
    <row r="75" spans="1:29" x14ac:dyDescent="0.2">
      <c r="A75" t="s">
        <v>932</v>
      </c>
      <c r="B75" t="s">
        <v>170</v>
      </c>
      <c r="C75" t="s">
        <v>49</v>
      </c>
      <c r="D75">
        <v>2017</v>
      </c>
      <c r="E75">
        <f>VLOOKUP(default_1!F123,Hoja1!$AD$1:$AE$176,2,FALSE)</f>
        <v>13</v>
      </c>
      <c r="F75" s="1" t="s">
        <v>933</v>
      </c>
      <c r="G75" t="s">
        <v>934</v>
      </c>
      <c r="H75" t="s">
        <v>26</v>
      </c>
      <c r="I75" t="s">
        <v>1087</v>
      </c>
      <c r="J75">
        <v>105000000</v>
      </c>
      <c r="K75">
        <v>30</v>
      </c>
      <c r="L75" t="s">
        <v>271</v>
      </c>
      <c r="M75" t="s">
        <v>127</v>
      </c>
      <c r="N75" t="s">
        <v>67</v>
      </c>
      <c r="O75">
        <v>0</v>
      </c>
      <c r="P75">
        <v>1</v>
      </c>
      <c r="Q75" t="s">
        <v>935</v>
      </c>
      <c r="R75">
        <v>0</v>
      </c>
      <c r="S75" t="s">
        <v>118</v>
      </c>
      <c r="T75" t="s">
        <v>687</v>
      </c>
      <c r="U75" t="s">
        <v>936</v>
      </c>
      <c r="V75" t="s">
        <v>58</v>
      </c>
      <c r="W75">
        <v>0</v>
      </c>
      <c r="Y75">
        <v>1</v>
      </c>
      <c r="Z75" t="s">
        <v>937</v>
      </c>
      <c r="AA75" t="s">
        <v>938</v>
      </c>
      <c r="AC75" t="s">
        <v>35</v>
      </c>
    </row>
    <row r="76" spans="1:29" x14ac:dyDescent="0.2">
      <c r="A76" t="s">
        <v>664</v>
      </c>
      <c r="B76" t="s">
        <v>62</v>
      </c>
      <c r="C76" t="s">
        <v>463</v>
      </c>
      <c r="D76">
        <v>2020</v>
      </c>
      <c r="E76">
        <f>VLOOKUP(default_1!F81,Hoja1!$AD$1:$AE$176,2,FALSE)</f>
        <v>105</v>
      </c>
      <c r="F76" s="1" t="s">
        <v>665</v>
      </c>
      <c r="G76" t="s">
        <v>666</v>
      </c>
      <c r="H76" t="s">
        <v>26</v>
      </c>
      <c r="I76" t="s">
        <v>1101</v>
      </c>
      <c r="J76">
        <v>160000</v>
      </c>
      <c r="K76">
        <v>1</v>
      </c>
      <c r="L76" t="s">
        <v>401</v>
      </c>
      <c r="M76" t="s">
        <v>485</v>
      </c>
      <c r="N76" t="s">
        <v>29</v>
      </c>
      <c r="O76">
        <v>0</v>
      </c>
      <c r="P76">
        <v>1</v>
      </c>
      <c r="Q76" t="s">
        <v>667</v>
      </c>
      <c r="R76">
        <v>0</v>
      </c>
      <c r="S76" t="s">
        <v>44</v>
      </c>
      <c r="T76" t="s">
        <v>393</v>
      </c>
      <c r="U76" t="s">
        <v>1528</v>
      </c>
      <c r="V76" t="s">
        <v>668</v>
      </c>
      <c r="W76">
        <v>1</v>
      </c>
      <c r="X76" t="s">
        <v>669</v>
      </c>
      <c r="Y76">
        <v>1</v>
      </c>
      <c r="Z76" t="s">
        <v>670</v>
      </c>
      <c r="AA76" t="s">
        <v>671</v>
      </c>
      <c r="AB76" t="s">
        <v>405</v>
      </c>
      <c r="AC76" t="s">
        <v>35</v>
      </c>
    </row>
    <row r="77" spans="1:29" x14ac:dyDescent="0.2">
      <c r="A77" t="s">
        <v>894</v>
      </c>
      <c r="B77" t="s">
        <v>631</v>
      </c>
      <c r="C77" t="s">
        <v>207</v>
      </c>
      <c r="D77">
        <v>2018</v>
      </c>
      <c r="E77">
        <f>VLOOKUP(default_1!F117,Hoja1!$AD$1:$AE$176,2,FALSE)</f>
        <v>3</v>
      </c>
      <c r="F77" s="1" t="s">
        <v>895</v>
      </c>
      <c r="G77" t="s">
        <v>896</v>
      </c>
      <c r="H77" t="s">
        <v>147</v>
      </c>
      <c r="J77">
        <v>7500000</v>
      </c>
      <c r="K77">
        <v>25</v>
      </c>
      <c r="L77" t="s">
        <v>210</v>
      </c>
      <c r="M77" t="s">
        <v>282</v>
      </c>
      <c r="N77" t="s">
        <v>29</v>
      </c>
      <c r="O77">
        <v>1</v>
      </c>
      <c r="P77">
        <v>1</v>
      </c>
      <c r="R77">
        <v>0</v>
      </c>
      <c r="S77" t="s">
        <v>56</v>
      </c>
      <c r="T77" t="s">
        <v>1070</v>
      </c>
      <c r="U77" t="s">
        <v>1550</v>
      </c>
      <c r="V77" t="s">
        <v>1580</v>
      </c>
      <c r="W77">
        <v>1</v>
      </c>
      <c r="X77" t="s">
        <v>898</v>
      </c>
      <c r="Y77">
        <v>1</v>
      </c>
      <c r="Z77" t="s">
        <v>899</v>
      </c>
      <c r="AA77" t="s">
        <v>168</v>
      </c>
      <c r="AC77" t="s">
        <v>35</v>
      </c>
    </row>
    <row r="78" spans="1:29" x14ac:dyDescent="0.2">
      <c r="A78" t="s">
        <v>684</v>
      </c>
      <c r="B78" t="s">
        <v>415</v>
      </c>
      <c r="C78" t="s">
        <v>49</v>
      </c>
      <c r="D78">
        <v>2020</v>
      </c>
      <c r="E78">
        <f>VLOOKUP(default_1!F74,Hoja1!$AD$1:$AE$176,2,FALSE)</f>
        <v>20</v>
      </c>
      <c r="F78" s="1" t="s">
        <v>685</v>
      </c>
      <c r="G78" t="s">
        <v>686</v>
      </c>
      <c r="H78" t="s">
        <v>147</v>
      </c>
      <c r="J78">
        <v>17159076</v>
      </c>
      <c r="K78">
        <v>183</v>
      </c>
      <c r="L78" t="s">
        <v>95</v>
      </c>
      <c r="M78" t="s">
        <v>418</v>
      </c>
      <c r="N78" t="s">
        <v>158</v>
      </c>
      <c r="O78">
        <v>0</v>
      </c>
      <c r="P78">
        <v>0</v>
      </c>
      <c r="Q78" t="s">
        <v>687</v>
      </c>
      <c r="R78">
        <v>0</v>
      </c>
      <c r="S78" t="s">
        <v>335</v>
      </c>
      <c r="T78" t="s">
        <v>1076</v>
      </c>
      <c r="U78" t="s">
        <v>688</v>
      </c>
      <c r="V78" t="s">
        <v>58</v>
      </c>
      <c r="W78">
        <v>0</v>
      </c>
      <c r="Y78">
        <v>1</v>
      </c>
      <c r="Z78" t="s">
        <v>689</v>
      </c>
      <c r="AA78" t="s">
        <v>690</v>
      </c>
      <c r="AC78" t="s">
        <v>35</v>
      </c>
    </row>
    <row r="79" spans="1:29" x14ac:dyDescent="0.2">
      <c r="A79" t="s">
        <v>1037</v>
      </c>
      <c r="B79" t="s">
        <v>1038</v>
      </c>
      <c r="D79">
        <v>2007</v>
      </c>
      <c r="E79">
        <f>VLOOKUP(default_1!F104,Hoja1!$AD$1:$AE$176,2,FALSE)</f>
        <v>33</v>
      </c>
      <c r="F79" s="1" t="s">
        <v>1039</v>
      </c>
      <c r="G79" t="s">
        <v>1040</v>
      </c>
      <c r="H79" t="s">
        <v>147</v>
      </c>
      <c r="J79">
        <v>1149499</v>
      </c>
      <c r="K79">
        <v>62</v>
      </c>
      <c r="L79" t="s">
        <v>1041</v>
      </c>
      <c r="M79" t="s">
        <v>918</v>
      </c>
      <c r="N79" t="s">
        <v>158</v>
      </c>
      <c r="O79">
        <v>1</v>
      </c>
      <c r="P79">
        <v>1</v>
      </c>
      <c r="R79">
        <v>0</v>
      </c>
      <c r="S79" t="s">
        <v>335</v>
      </c>
      <c r="T79" t="s">
        <v>1076</v>
      </c>
      <c r="U79" t="s">
        <v>1042</v>
      </c>
      <c r="V79" t="s">
        <v>1043</v>
      </c>
      <c r="W79">
        <v>0</v>
      </c>
      <c r="Y79">
        <v>1</v>
      </c>
      <c r="AA79" t="s">
        <v>162</v>
      </c>
      <c r="AB79" t="s">
        <v>1044</v>
      </c>
      <c r="AC79" t="s">
        <v>35</v>
      </c>
    </row>
    <row r="80" spans="1:29" x14ac:dyDescent="0.2">
      <c r="A80" t="s">
        <v>73</v>
      </c>
      <c r="B80" t="s">
        <v>74</v>
      </c>
      <c r="C80" t="s">
        <v>75</v>
      </c>
      <c r="D80">
        <v>2022</v>
      </c>
      <c r="E80">
        <f>VLOOKUP(default_1!F6,Hoja1!$AD$1:$AE$176,2,FALSE)</f>
        <v>78</v>
      </c>
      <c r="F80" s="1" t="s">
        <v>76</v>
      </c>
      <c r="G80" t="s">
        <v>77</v>
      </c>
      <c r="H80" t="s">
        <v>26</v>
      </c>
      <c r="I80" t="s">
        <v>1087</v>
      </c>
      <c r="J80">
        <v>42000000</v>
      </c>
      <c r="K80">
        <v>31</v>
      </c>
      <c r="L80" t="s">
        <v>27</v>
      </c>
      <c r="M80" t="s">
        <v>78</v>
      </c>
      <c r="N80" t="s">
        <v>67</v>
      </c>
      <c r="O80">
        <v>1</v>
      </c>
      <c r="P80">
        <v>1</v>
      </c>
      <c r="R80">
        <v>0</v>
      </c>
      <c r="S80" t="s">
        <v>44</v>
      </c>
      <c r="T80" t="s">
        <v>1191</v>
      </c>
      <c r="U80" t="s">
        <v>79</v>
      </c>
      <c r="V80" t="s">
        <v>79</v>
      </c>
      <c r="W80">
        <v>0</v>
      </c>
      <c r="Y80">
        <v>0</v>
      </c>
      <c r="AB80" t="s">
        <v>80</v>
      </c>
      <c r="AC80" t="s">
        <v>35</v>
      </c>
    </row>
    <row r="81" spans="1:29" x14ac:dyDescent="0.2">
      <c r="A81" t="s">
        <v>1009</v>
      </c>
      <c r="B81" t="s">
        <v>585</v>
      </c>
      <c r="C81" t="s">
        <v>92</v>
      </c>
      <c r="D81">
        <v>2014</v>
      </c>
      <c r="E81">
        <f>VLOOKUP(default_1!F21,Hoja1!$AD$1:$AE$176,2,FALSE)</f>
        <v>10</v>
      </c>
      <c r="F81" s="1" t="s">
        <v>1010</v>
      </c>
      <c r="G81" t="s">
        <v>1011</v>
      </c>
      <c r="H81" t="s">
        <v>147</v>
      </c>
      <c r="J81">
        <v>896000</v>
      </c>
      <c r="K81">
        <v>7</v>
      </c>
      <c r="L81" t="s">
        <v>972</v>
      </c>
      <c r="M81" t="s">
        <v>183</v>
      </c>
      <c r="N81" t="s">
        <v>29</v>
      </c>
      <c r="O81">
        <v>0</v>
      </c>
      <c r="P81">
        <v>0</v>
      </c>
      <c r="Q81" t="s">
        <v>588</v>
      </c>
      <c r="R81">
        <v>0</v>
      </c>
      <c r="S81" t="s">
        <v>219</v>
      </c>
      <c r="T81" t="s">
        <v>89</v>
      </c>
      <c r="U81" t="s">
        <v>1495</v>
      </c>
      <c r="V81" t="s">
        <v>1575</v>
      </c>
      <c r="W81">
        <v>0</v>
      </c>
      <c r="Y81">
        <v>1</v>
      </c>
      <c r="Z81" t="s">
        <v>1013</v>
      </c>
      <c r="AC81" t="s">
        <v>89</v>
      </c>
    </row>
    <row r="82" spans="1:29" x14ac:dyDescent="0.2">
      <c r="A82" t="s">
        <v>90</v>
      </c>
      <c r="B82" t="s">
        <v>91</v>
      </c>
      <c r="C82" t="s">
        <v>92</v>
      </c>
      <c r="D82">
        <v>2022</v>
      </c>
      <c r="E82">
        <f>VLOOKUP(default_1!F8,Hoja1!$AD$1:$AE$176,2,FALSE)</f>
        <v>0</v>
      </c>
      <c r="F82" s="1" t="s">
        <v>93</v>
      </c>
      <c r="G82" t="s">
        <v>94</v>
      </c>
      <c r="H82" t="s">
        <v>26</v>
      </c>
      <c r="I82" t="s">
        <v>1088</v>
      </c>
      <c r="J82">
        <v>2727421</v>
      </c>
      <c r="K82">
        <v>5</v>
      </c>
      <c r="L82" t="s">
        <v>95</v>
      </c>
      <c r="M82" t="s">
        <v>96</v>
      </c>
      <c r="N82" t="s">
        <v>67</v>
      </c>
      <c r="O82">
        <v>0</v>
      </c>
      <c r="P82">
        <v>0</v>
      </c>
      <c r="Q82" t="s">
        <v>97</v>
      </c>
      <c r="R82">
        <v>0</v>
      </c>
      <c r="S82" t="s">
        <v>44</v>
      </c>
      <c r="T82" t="s">
        <v>1191</v>
      </c>
      <c r="U82" t="s">
        <v>1489</v>
      </c>
      <c r="V82" t="s">
        <v>1581</v>
      </c>
      <c r="W82">
        <v>0</v>
      </c>
      <c r="X82" t="s">
        <v>99</v>
      </c>
      <c r="Y82">
        <v>1</v>
      </c>
      <c r="AA82" t="s">
        <v>100</v>
      </c>
      <c r="AC82" t="s">
        <v>35</v>
      </c>
    </row>
    <row r="83" spans="1:29" x14ac:dyDescent="0.2">
      <c r="A83" t="s">
        <v>974</v>
      </c>
      <c r="B83" t="s">
        <v>170</v>
      </c>
      <c r="C83" t="s">
        <v>463</v>
      </c>
      <c r="D83">
        <v>2016</v>
      </c>
      <c r="E83">
        <f>VLOOKUP(default_1!F130,Hoja1!$AD$1:$AE$176,2,FALSE)</f>
        <v>15</v>
      </c>
      <c r="F83" s="1" t="s">
        <v>975</v>
      </c>
      <c r="G83" t="s">
        <v>976</v>
      </c>
      <c r="H83" t="s">
        <v>26</v>
      </c>
      <c r="I83" t="s">
        <v>1087</v>
      </c>
      <c r="J83">
        <v>3000000</v>
      </c>
      <c r="K83">
        <v>29</v>
      </c>
      <c r="L83" t="s">
        <v>271</v>
      </c>
      <c r="M83" t="s">
        <v>1271</v>
      </c>
      <c r="N83" t="s">
        <v>67</v>
      </c>
      <c r="O83">
        <v>0</v>
      </c>
      <c r="P83">
        <v>1</v>
      </c>
      <c r="Q83" t="s">
        <v>588</v>
      </c>
      <c r="R83">
        <v>0</v>
      </c>
      <c r="S83" t="s">
        <v>118</v>
      </c>
      <c r="T83" t="s">
        <v>1060</v>
      </c>
      <c r="U83" t="s">
        <v>1491</v>
      </c>
      <c r="V83" t="s">
        <v>977</v>
      </c>
      <c r="W83">
        <v>1</v>
      </c>
      <c r="X83" t="s">
        <v>913</v>
      </c>
      <c r="Y83">
        <v>0</v>
      </c>
      <c r="AA83" t="s">
        <v>168</v>
      </c>
      <c r="AB83" t="s">
        <v>434</v>
      </c>
      <c r="AC83" t="s">
        <v>35</v>
      </c>
    </row>
    <row r="84" spans="1:29" x14ac:dyDescent="0.2">
      <c r="A84" t="s">
        <v>569</v>
      </c>
      <c r="B84" t="s">
        <v>170</v>
      </c>
      <c r="C84" t="s">
        <v>92</v>
      </c>
      <c r="D84">
        <v>2020</v>
      </c>
      <c r="E84">
        <f>VLOOKUP(default_1!F68,Hoja1!$AD$1:$AE$176,2,FALSE)</f>
        <v>43</v>
      </c>
      <c r="F84" s="1" t="s">
        <v>570</v>
      </c>
      <c r="G84" t="s">
        <v>571</v>
      </c>
      <c r="H84" t="s">
        <v>26</v>
      </c>
      <c r="I84" t="s">
        <v>1099</v>
      </c>
      <c r="J84">
        <v>34855623</v>
      </c>
      <c r="K84">
        <v>28</v>
      </c>
      <c r="L84" t="s">
        <v>53</v>
      </c>
      <c r="M84" t="s">
        <v>54</v>
      </c>
      <c r="N84" t="s">
        <v>29</v>
      </c>
      <c r="O84">
        <v>0</v>
      </c>
      <c r="P84">
        <v>0</v>
      </c>
      <c r="Q84" t="s">
        <v>572</v>
      </c>
      <c r="R84">
        <v>0</v>
      </c>
      <c r="S84" t="s">
        <v>118</v>
      </c>
      <c r="T84" t="s">
        <v>1060</v>
      </c>
      <c r="U84" t="s">
        <v>1549</v>
      </c>
      <c r="V84" t="s">
        <v>574</v>
      </c>
      <c r="W84">
        <v>1</v>
      </c>
      <c r="X84" t="s">
        <v>575</v>
      </c>
      <c r="Y84">
        <v>0</v>
      </c>
      <c r="AC84" t="s">
        <v>35</v>
      </c>
    </row>
    <row r="85" spans="1:29" x14ac:dyDescent="0.2">
      <c r="A85" t="s">
        <v>1014</v>
      </c>
      <c r="B85" t="s">
        <v>91</v>
      </c>
      <c r="C85" t="s">
        <v>207</v>
      </c>
      <c r="D85">
        <v>2014</v>
      </c>
      <c r="E85">
        <f>VLOOKUP(default_1!F137,Hoja1!$AD$1:$AE$176,2,FALSE)</f>
        <v>3</v>
      </c>
      <c r="F85" s="1" t="s">
        <v>1015</v>
      </c>
      <c r="G85" t="s">
        <v>1016</v>
      </c>
      <c r="H85" t="s">
        <v>147</v>
      </c>
      <c r="J85">
        <v>35000000</v>
      </c>
      <c r="K85">
        <v>730</v>
      </c>
      <c r="L85" t="s">
        <v>1017</v>
      </c>
      <c r="M85" t="s">
        <v>1018</v>
      </c>
      <c r="N85" t="s">
        <v>158</v>
      </c>
      <c r="O85">
        <v>0</v>
      </c>
      <c r="P85">
        <v>0</v>
      </c>
      <c r="Q85" t="s">
        <v>687</v>
      </c>
      <c r="R85">
        <v>0</v>
      </c>
      <c r="S85" t="s">
        <v>149</v>
      </c>
      <c r="T85" t="s">
        <v>687</v>
      </c>
      <c r="U85" t="s">
        <v>1537</v>
      </c>
      <c r="V85" t="s">
        <v>58</v>
      </c>
      <c r="W85">
        <v>0</v>
      </c>
      <c r="Y85">
        <v>0</v>
      </c>
      <c r="AA85" t="s">
        <v>168</v>
      </c>
      <c r="AB85" t="s">
        <v>315</v>
      </c>
      <c r="AC85" t="s">
        <v>35</v>
      </c>
    </row>
    <row r="86" spans="1:29" x14ac:dyDescent="0.2">
      <c r="A86" t="s">
        <v>497</v>
      </c>
      <c r="B86" t="s">
        <v>498</v>
      </c>
      <c r="D86">
        <v>2021</v>
      </c>
      <c r="E86">
        <f>VLOOKUP(default_1!F43,Hoja1!$AD$1:$AE$176,2,FALSE)</f>
        <v>6</v>
      </c>
      <c r="F86" s="1" t="s">
        <v>499</v>
      </c>
      <c r="G86" t="s">
        <v>500</v>
      </c>
      <c r="H86" t="s">
        <v>147</v>
      </c>
      <c r="J86">
        <v>2586000</v>
      </c>
      <c r="K86">
        <v>365</v>
      </c>
      <c r="M86" t="s">
        <v>501</v>
      </c>
      <c r="N86" t="s">
        <v>158</v>
      </c>
      <c r="O86">
        <v>1</v>
      </c>
      <c r="P86">
        <v>1</v>
      </c>
      <c r="R86">
        <v>0</v>
      </c>
      <c r="S86" t="s">
        <v>69</v>
      </c>
      <c r="T86" t="s">
        <v>1072</v>
      </c>
      <c r="U86" t="s">
        <v>1524</v>
      </c>
      <c r="V86" t="s">
        <v>1582</v>
      </c>
      <c r="W86">
        <v>0</v>
      </c>
      <c r="Y86">
        <v>1</v>
      </c>
      <c r="AA86" t="s">
        <v>502</v>
      </c>
      <c r="AB86" t="s">
        <v>503</v>
      </c>
      <c r="AC86" t="s">
        <v>35</v>
      </c>
    </row>
    <row r="87" spans="1:29" x14ac:dyDescent="0.2">
      <c r="A87" t="s">
        <v>749</v>
      </c>
      <c r="B87" t="s">
        <v>187</v>
      </c>
      <c r="C87" t="s">
        <v>215</v>
      </c>
      <c r="D87">
        <v>2019</v>
      </c>
      <c r="E87">
        <f>VLOOKUP(default_1!F94,Hoja1!$AD$1:$AE$176,2,FALSE)</f>
        <v>11</v>
      </c>
      <c r="F87" s="1" t="s">
        <v>750</v>
      </c>
      <c r="G87" t="s">
        <v>751</v>
      </c>
      <c r="H87" t="s">
        <v>26</v>
      </c>
      <c r="I87" t="s">
        <v>1101</v>
      </c>
      <c r="J87">
        <v>600000</v>
      </c>
      <c r="K87">
        <v>1</v>
      </c>
      <c r="L87" t="s">
        <v>401</v>
      </c>
      <c r="M87" t="s">
        <v>752</v>
      </c>
      <c r="N87" t="s">
        <v>29</v>
      </c>
      <c r="O87">
        <v>0</v>
      </c>
      <c r="P87">
        <v>0</v>
      </c>
      <c r="Q87" t="s">
        <v>753</v>
      </c>
      <c r="R87">
        <v>0</v>
      </c>
      <c r="S87" t="s">
        <v>118</v>
      </c>
      <c r="T87" t="s">
        <v>1058</v>
      </c>
      <c r="U87" t="s">
        <v>754</v>
      </c>
      <c r="V87" t="s">
        <v>755</v>
      </c>
      <c r="W87">
        <v>0</v>
      </c>
      <c r="Y87">
        <v>0</v>
      </c>
      <c r="Z87" t="s">
        <v>756</v>
      </c>
      <c r="AA87" t="s">
        <v>757</v>
      </c>
      <c r="AB87" t="s">
        <v>405</v>
      </c>
      <c r="AC87" t="s">
        <v>35</v>
      </c>
    </row>
    <row r="88" spans="1:29" x14ac:dyDescent="0.2">
      <c r="A88" t="s">
        <v>382</v>
      </c>
      <c r="B88" t="s">
        <v>102</v>
      </c>
      <c r="C88" t="s">
        <v>199</v>
      </c>
      <c r="D88">
        <v>2021</v>
      </c>
      <c r="E88">
        <f>VLOOKUP(default_1!F42,Hoja1!$AD$1:$AE$176,2,FALSE)</f>
        <v>30</v>
      </c>
      <c r="F88" s="1" t="s">
        <v>383</v>
      </c>
      <c r="G88" t="s">
        <v>384</v>
      </c>
      <c r="H88" t="s">
        <v>26</v>
      </c>
      <c r="I88" t="s">
        <v>1085</v>
      </c>
      <c r="J88">
        <v>205</v>
      </c>
      <c r="K88">
        <v>31</v>
      </c>
      <c r="L88" t="s">
        <v>210</v>
      </c>
      <c r="M88" t="s">
        <v>28</v>
      </c>
      <c r="N88" t="s">
        <v>29</v>
      </c>
      <c r="O88">
        <v>0</v>
      </c>
      <c r="P88">
        <v>0</v>
      </c>
      <c r="Q88" t="s">
        <v>385</v>
      </c>
      <c r="R88">
        <v>0</v>
      </c>
      <c r="S88" t="s">
        <v>816</v>
      </c>
      <c r="T88" t="s">
        <v>1065</v>
      </c>
      <c r="U88" t="s">
        <v>1532</v>
      </c>
      <c r="V88" t="s">
        <v>386</v>
      </c>
      <c r="W88">
        <v>0</v>
      </c>
      <c r="Y88">
        <v>1</v>
      </c>
      <c r="Z88" t="s">
        <v>387</v>
      </c>
      <c r="AA88" t="s">
        <v>388</v>
      </c>
      <c r="AB88" t="s">
        <v>389</v>
      </c>
      <c r="AC88" t="s">
        <v>35</v>
      </c>
    </row>
    <row r="89" spans="1:29" x14ac:dyDescent="0.2">
      <c r="A89" t="s">
        <v>360</v>
      </c>
      <c r="B89" t="s">
        <v>35</v>
      </c>
      <c r="C89" t="s">
        <v>75</v>
      </c>
      <c r="D89">
        <v>2022</v>
      </c>
      <c r="E89">
        <f>VLOOKUP(default_1!F39,Hoja1!$AD$1:$AE$176,2,FALSE)</f>
        <v>42</v>
      </c>
      <c r="F89" s="1" t="s">
        <v>361</v>
      </c>
      <c r="G89" t="s">
        <v>362</v>
      </c>
      <c r="H89" t="s">
        <v>26</v>
      </c>
      <c r="I89" t="s">
        <v>1091</v>
      </c>
      <c r="J89">
        <v>2835249</v>
      </c>
      <c r="K89">
        <v>30</v>
      </c>
      <c r="L89" t="s">
        <v>363</v>
      </c>
      <c r="M89" t="s">
        <v>364</v>
      </c>
      <c r="N89" t="s">
        <v>67</v>
      </c>
      <c r="O89">
        <v>0</v>
      </c>
      <c r="P89">
        <v>0</v>
      </c>
      <c r="Q89" t="s">
        <v>107</v>
      </c>
      <c r="R89">
        <v>0</v>
      </c>
      <c r="S89" t="s">
        <v>283</v>
      </c>
      <c r="T89" t="s">
        <v>1066</v>
      </c>
      <c r="U89" t="s">
        <v>365</v>
      </c>
      <c r="V89" t="s">
        <v>130</v>
      </c>
      <c r="W89">
        <v>0</v>
      </c>
      <c r="Y89">
        <v>1</v>
      </c>
      <c r="AA89" t="s">
        <v>366</v>
      </c>
      <c r="AB89" t="s">
        <v>367</v>
      </c>
      <c r="AC89" t="s">
        <v>35</v>
      </c>
    </row>
    <row r="90" spans="1:29" x14ac:dyDescent="0.2">
      <c r="A90" t="s">
        <v>939</v>
      </c>
      <c r="B90" t="s">
        <v>154</v>
      </c>
      <c r="D90">
        <v>2017</v>
      </c>
      <c r="E90">
        <f>VLOOKUP(default_1!F124,Hoja1!$AD$1:$AE$176,2,FALSE)</f>
        <v>9</v>
      </c>
      <c r="F90" s="1" t="s">
        <v>940</v>
      </c>
      <c r="G90" t="s">
        <v>941</v>
      </c>
      <c r="H90" t="s">
        <v>26</v>
      </c>
      <c r="I90" t="s">
        <v>1104</v>
      </c>
      <c r="K90">
        <v>105</v>
      </c>
      <c r="L90" t="s">
        <v>210</v>
      </c>
      <c r="M90" t="s">
        <v>942</v>
      </c>
      <c r="N90" t="s">
        <v>29</v>
      </c>
      <c r="O90">
        <v>0</v>
      </c>
      <c r="P90">
        <v>0</v>
      </c>
      <c r="Q90" t="s">
        <v>876</v>
      </c>
      <c r="R90">
        <v>0</v>
      </c>
      <c r="S90" t="s">
        <v>149</v>
      </c>
      <c r="T90" t="s">
        <v>1060</v>
      </c>
      <c r="U90" t="s">
        <v>943</v>
      </c>
      <c r="V90" t="s">
        <v>1578</v>
      </c>
      <c r="W90">
        <v>0</v>
      </c>
      <c r="Y90">
        <v>1</v>
      </c>
      <c r="AA90" t="s">
        <v>944</v>
      </c>
      <c r="AB90" t="s">
        <v>945</v>
      </c>
      <c r="AC90" t="s">
        <v>35</v>
      </c>
    </row>
    <row r="91" spans="1:29" x14ac:dyDescent="0.2">
      <c r="A91" t="s">
        <v>660</v>
      </c>
      <c r="B91" t="s">
        <v>102</v>
      </c>
      <c r="C91" t="s">
        <v>224</v>
      </c>
      <c r="D91">
        <v>2020</v>
      </c>
      <c r="E91">
        <f>VLOOKUP(default_1!F80,Hoja1!$AD$1:$AE$176,2,FALSE)</f>
        <v>7</v>
      </c>
      <c r="F91" s="1" t="s">
        <v>661</v>
      </c>
      <c r="G91" t="s">
        <v>662</v>
      </c>
      <c r="H91" t="s">
        <v>105</v>
      </c>
      <c r="J91">
        <v>130000000</v>
      </c>
      <c r="K91">
        <v>21</v>
      </c>
      <c r="L91" t="s">
        <v>210</v>
      </c>
      <c r="M91" t="s">
        <v>28</v>
      </c>
      <c r="N91" t="s">
        <v>29</v>
      </c>
      <c r="O91">
        <v>0</v>
      </c>
      <c r="P91">
        <v>0</v>
      </c>
      <c r="Q91" t="s">
        <v>663</v>
      </c>
      <c r="R91">
        <v>0</v>
      </c>
      <c r="S91" t="s">
        <v>816</v>
      </c>
      <c r="T91" t="s">
        <v>1065</v>
      </c>
      <c r="U91" t="s">
        <v>1485</v>
      </c>
      <c r="V91" t="s">
        <v>373</v>
      </c>
      <c r="W91">
        <v>0</v>
      </c>
      <c r="Y91">
        <v>1</v>
      </c>
      <c r="AA91" t="s">
        <v>34</v>
      </c>
      <c r="AC91" t="s">
        <v>35</v>
      </c>
    </row>
    <row r="92" spans="1:29" x14ac:dyDescent="0.2">
      <c r="A92" t="s">
        <v>951</v>
      </c>
      <c r="B92" t="s">
        <v>498</v>
      </c>
      <c r="D92">
        <v>2017</v>
      </c>
      <c r="E92">
        <f>VLOOKUP(default_1!F126,Hoja1!$AD$1:$AE$176,2,FALSE)</f>
        <v>39</v>
      </c>
      <c r="F92" s="1" t="s">
        <v>952</v>
      </c>
      <c r="G92" t="s">
        <v>953</v>
      </c>
      <c r="H92" t="s">
        <v>105</v>
      </c>
      <c r="J92">
        <v>451000000</v>
      </c>
      <c r="K92">
        <v>30</v>
      </c>
      <c r="L92" t="s">
        <v>210</v>
      </c>
      <c r="M92" t="s">
        <v>634</v>
      </c>
      <c r="N92" t="s">
        <v>29</v>
      </c>
      <c r="O92">
        <v>0</v>
      </c>
      <c r="P92">
        <v>0</v>
      </c>
      <c r="Q92" t="s">
        <v>954</v>
      </c>
      <c r="R92">
        <v>0</v>
      </c>
      <c r="S92" t="s">
        <v>118</v>
      </c>
      <c r="T92" t="s">
        <v>89</v>
      </c>
      <c r="U92" t="s">
        <v>955</v>
      </c>
      <c r="V92" t="s">
        <v>1591</v>
      </c>
      <c r="W92">
        <v>1</v>
      </c>
      <c r="X92" t="s">
        <v>956</v>
      </c>
      <c r="Y92">
        <v>1</v>
      </c>
      <c r="Z92" t="s">
        <v>957</v>
      </c>
      <c r="AC92" t="s">
        <v>89</v>
      </c>
    </row>
    <row r="93" spans="1:29" x14ac:dyDescent="0.2">
      <c r="A93" t="s">
        <v>909</v>
      </c>
      <c r="B93" t="s">
        <v>62</v>
      </c>
      <c r="C93" t="s">
        <v>250</v>
      </c>
      <c r="D93">
        <v>2017</v>
      </c>
      <c r="E93">
        <f>VLOOKUP(default_1!F119,Hoja1!$AD$1:$AE$176,2,FALSE)</f>
        <v>23</v>
      </c>
      <c r="F93" s="1" t="s">
        <v>910</v>
      </c>
      <c r="G93" t="s">
        <v>911</v>
      </c>
      <c r="H93" t="s">
        <v>26</v>
      </c>
      <c r="I93" t="s">
        <v>1088</v>
      </c>
      <c r="K93">
        <v>14</v>
      </c>
      <c r="M93" t="s">
        <v>1271</v>
      </c>
      <c r="N93" t="s">
        <v>67</v>
      </c>
      <c r="O93">
        <v>1</v>
      </c>
      <c r="P93">
        <v>1</v>
      </c>
      <c r="R93">
        <v>0</v>
      </c>
      <c r="S93" t="s">
        <v>30</v>
      </c>
      <c r="T93" t="s">
        <v>1060</v>
      </c>
      <c r="U93" t="s">
        <v>912</v>
      </c>
      <c r="V93" t="s">
        <v>1527</v>
      </c>
      <c r="W93">
        <v>1</v>
      </c>
      <c r="X93" t="s">
        <v>913</v>
      </c>
      <c r="Y93">
        <v>1</v>
      </c>
      <c r="AA93" t="s">
        <v>34</v>
      </c>
      <c r="AC93" t="s">
        <v>35</v>
      </c>
    </row>
    <row r="94" spans="1:29" x14ac:dyDescent="0.2">
      <c r="A94" t="s">
        <v>390</v>
      </c>
      <c r="B94" t="s">
        <v>170</v>
      </c>
      <c r="C94" t="s">
        <v>144</v>
      </c>
      <c r="D94">
        <v>2021</v>
      </c>
      <c r="E94">
        <f>VLOOKUP(default_1!F141,Hoja1!$AD$1:$AE$176,2,FALSE)</f>
        <v>48</v>
      </c>
      <c r="F94" s="1" t="s">
        <v>391</v>
      </c>
      <c r="G94" t="s">
        <v>392</v>
      </c>
      <c r="H94" t="s">
        <v>26</v>
      </c>
      <c r="I94" t="s">
        <v>1087</v>
      </c>
      <c r="J94">
        <v>52000000</v>
      </c>
      <c r="K94">
        <v>31</v>
      </c>
      <c r="L94" t="s">
        <v>190</v>
      </c>
      <c r="M94" t="s">
        <v>54</v>
      </c>
      <c r="N94" t="s">
        <v>67</v>
      </c>
      <c r="O94">
        <v>1</v>
      </c>
      <c r="P94">
        <v>1</v>
      </c>
      <c r="R94">
        <v>0</v>
      </c>
      <c r="S94" t="s">
        <v>44</v>
      </c>
      <c r="T94" t="s">
        <v>393</v>
      </c>
      <c r="U94" t="s">
        <v>1525</v>
      </c>
      <c r="V94" t="s">
        <v>1525</v>
      </c>
      <c r="W94">
        <v>1</v>
      </c>
      <c r="X94" t="s">
        <v>395</v>
      </c>
      <c r="Y94">
        <v>0</v>
      </c>
      <c r="AA94" t="s">
        <v>396</v>
      </c>
      <c r="AC94" t="s">
        <v>35</v>
      </c>
    </row>
    <row r="95" spans="1:29" x14ac:dyDescent="0.2">
      <c r="A95" t="s">
        <v>214</v>
      </c>
      <c r="B95" t="s">
        <v>22</v>
      </c>
      <c r="C95" t="s">
        <v>215</v>
      </c>
      <c r="D95">
        <v>2022</v>
      </c>
      <c r="E95">
        <f>VLOOKUP(default_1!F5,Hoja1!$AD$1:$AE$176,2,FALSE)</f>
        <v>3</v>
      </c>
      <c r="F95" s="1" t="s">
        <v>216</v>
      </c>
      <c r="G95" t="s">
        <v>217</v>
      </c>
      <c r="H95" t="s">
        <v>147</v>
      </c>
      <c r="J95">
        <v>103000000</v>
      </c>
      <c r="K95">
        <v>5</v>
      </c>
      <c r="L95" t="s">
        <v>41</v>
      </c>
      <c r="M95" t="s">
        <v>28</v>
      </c>
      <c r="N95" t="s">
        <v>29</v>
      </c>
      <c r="O95">
        <v>0</v>
      </c>
      <c r="P95">
        <v>1</v>
      </c>
      <c r="Q95" t="s">
        <v>218</v>
      </c>
      <c r="R95">
        <v>0</v>
      </c>
      <c r="S95" t="s">
        <v>118</v>
      </c>
      <c r="T95" t="s">
        <v>26</v>
      </c>
      <c r="U95" t="s">
        <v>220</v>
      </c>
      <c r="V95" t="s">
        <v>58</v>
      </c>
      <c r="W95">
        <v>0</v>
      </c>
      <c r="Y95">
        <v>1</v>
      </c>
      <c r="Z95" t="s">
        <v>221</v>
      </c>
      <c r="AA95" t="s">
        <v>168</v>
      </c>
      <c r="AB95" t="s">
        <v>222</v>
      </c>
      <c r="AC95" t="s">
        <v>35</v>
      </c>
    </row>
    <row r="96" spans="1:29" x14ac:dyDescent="0.2">
      <c r="A96" t="s">
        <v>414</v>
      </c>
      <c r="B96" t="s">
        <v>415</v>
      </c>
      <c r="C96" t="s">
        <v>124</v>
      </c>
      <c r="D96">
        <v>2021</v>
      </c>
      <c r="E96">
        <f>VLOOKUP(default_1!F136,Hoja1!$AD$1:$AE$176,2,FALSE)</f>
        <v>6</v>
      </c>
      <c r="F96" s="1" t="s">
        <v>416</v>
      </c>
      <c r="G96" t="s">
        <v>417</v>
      </c>
      <c r="H96" t="s">
        <v>147</v>
      </c>
      <c r="J96">
        <v>2917272</v>
      </c>
      <c r="K96">
        <v>32</v>
      </c>
      <c r="L96" t="s">
        <v>95</v>
      </c>
      <c r="M96" t="s">
        <v>418</v>
      </c>
      <c r="N96" t="s">
        <v>158</v>
      </c>
      <c r="O96">
        <v>1</v>
      </c>
      <c r="P96">
        <v>1</v>
      </c>
      <c r="R96">
        <v>0</v>
      </c>
      <c r="S96" t="s">
        <v>149</v>
      </c>
      <c r="T96" t="s">
        <v>1060</v>
      </c>
      <c r="U96" t="s">
        <v>419</v>
      </c>
      <c r="V96" t="s">
        <v>151</v>
      </c>
      <c r="W96">
        <v>0</v>
      </c>
      <c r="Y96">
        <v>1</v>
      </c>
      <c r="AA96" t="s">
        <v>420</v>
      </c>
      <c r="AB96" t="s">
        <v>405</v>
      </c>
      <c r="AC96" t="s">
        <v>35</v>
      </c>
    </row>
    <row r="97" spans="1:29" x14ac:dyDescent="0.2">
      <c r="A97" t="s">
        <v>991</v>
      </c>
      <c r="B97" t="s">
        <v>979</v>
      </c>
      <c r="D97">
        <v>2016</v>
      </c>
      <c r="E97">
        <f>VLOOKUP(default_1!F133,Hoja1!$AD$1:$AE$176,2,FALSE)</f>
        <v>11</v>
      </c>
      <c r="F97" s="1" t="s">
        <v>992</v>
      </c>
      <c r="G97" t="s">
        <v>993</v>
      </c>
      <c r="H97" t="s">
        <v>147</v>
      </c>
      <c r="K97">
        <v>1</v>
      </c>
      <c r="L97" t="s">
        <v>401</v>
      </c>
      <c r="M97" t="s">
        <v>994</v>
      </c>
      <c r="N97" t="s">
        <v>29</v>
      </c>
      <c r="O97">
        <v>1</v>
      </c>
      <c r="P97">
        <v>1</v>
      </c>
      <c r="R97">
        <v>0</v>
      </c>
      <c r="S97" t="s">
        <v>283</v>
      </c>
      <c r="T97" t="s">
        <v>1077</v>
      </c>
      <c r="U97" t="s">
        <v>995</v>
      </c>
      <c r="V97" t="s">
        <v>996</v>
      </c>
      <c r="W97">
        <v>0</v>
      </c>
      <c r="Y97">
        <v>0</v>
      </c>
      <c r="Z97" t="s">
        <v>997</v>
      </c>
      <c r="AA97" t="s">
        <v>549</v>
      </c>
      <c r="AB97" t="s">
        <v>141</v>
      </c>
      <c r="AC97" t="s">
        <v>35</v>
      </c>
    </row>
    <row r="98" spans="1:29" x14ac:dyDescent="0.2">
      <c r="A98" t="s">
        <v>856</v>
      </c>
      <c r="B98" t="s">
        <v>170</v>
      </c>
      <c r="C98" t="s">
        <v>224</v>
      </c>
      <c r="D98">
        <v>2018</v>
      </c>
      <c r="E98">
        <f>VLOOKUP(default_1!F110,Hoja1!$AD$1:$AE$176,2,FALSE)</f>
        <v>20</v>
      </c>
      <c r="F98" s="1" t="s">
        <v>857</v>
      </c>
      <c r="G98" t="s">
        <v>858</v>
      </c>
      <c r="H98" t="s">
        <v>26</v>
      </c>
      <c r="I98" t="s">
        <v>1100</v>
      </c>
      <c r="J98">
        <v>1767858</v>
      </c>
      <c r="K98">
        <v>61</v>
      </c>
      <c r="L98" t="s">
        <v>271</v>
      </c>
      <c r="M98" t="s">
        <v>859</v>
      </c>
      <c r="N98" t="s">
        <v>29</v>
      </c>
      <c r="O98">
        <v>0</v>
      </c>
      <c r="P98">
        <v>1</v>
      </c>
      <c r="Q98" t="s">
        <v>203</v>
      </c>
      <c r="R98">
        <v>0</v>
      </c>
      <c r="S98" t="s">
        <v>56</v>
      </c>
      <c r="T98" t="s">
        <v>1073</v>
      </c>
      <c r="U98" t="s">
        <v>1535</v>
      </c>
      <c r="V98" t="s">
        <v>1573</v>
      </c>
      <c r="W98">
        <v>1</v>
      </c>
      <c r="X98" t="s">
        <v>861</v>
      </c>
      <c r="Y98">
        <v>0</v>
      </c>
      <c r="AA98" t="s">
        <v>862</v>
      </c>
      <c r="AC98" t="s">
        <v>35</v>
      </c>
    </row>
    <row r="99" spans="1:29" x14ac:dyDescent="0.2">
      <c r="A99" t="s">
        <v>986</v>
      </c>
      <c r="B99" t="s">
        <v>102</v>
      </c>
      <c r="C99" t="s">
        <v>207</v>
      </c>
      <c r="D99">
        <v>2016</v>
      </c>
      <c r="E99">
        <f>VLOOKUP(default_1!F84,Hoja1!$AD$1:$AE$176,2,FALSE)</f>
        <v>43</v>
      </c>
      <c r="F99" s="1" t="s">
        <v>987</v>
      </c>
      <c r="G99" t="s">
        <v>988</v>
      </c>
      <c r="H99" t="s">
        <v>147</v>
      </c>
      <c r="J99">
        <v>3000000</v>
      </c>
      <c r="K99">
        <v>30</v>
      </c>
      <c r="L99" t="s">
        <v>982</v>
      </c>
      <c r="M99" t="s">
        <v>989</v>
      </c>
      <c r="N99" t="s">
        <v>158</v>
      </c>
      <c r="O99">
        <v>0</v>
      </c>
      <c r="P99">
        <v>1</v>
      </c>
      <c r="Q99" t="s">
        <v>990</v>
      </c>
      <c r="R99">
        <v>0</v>
      </c>
      <c r="S99" t="s">
        <v>335</v>
      </c>
      <c r="T99" t="s">
        <v>1076</v>
      </c>
      <c r="U99" t="s">
        <v>79</v>
      </c>
      <c r="V99" t="s">
        <v>79</v>
      </c>
      <c r="W99">
        <v>0</v>
      </c>
      <c r="Y99">
        <v>1</v>
      </c>
      <c r="AB99" t="s">
        <v>638</v>
      </c>
      <c r="AC99" t="s">
        <v>35</v>
      </c>
    </row>
    <row r="100" spans="1:29" x14ac:dyDescent="0.2">
      <c r="A100" t="s">
        <v>878</v>
      </c>
      <c r="B100" t="s">
        <v>114</v>
      </c>
      <c r="D100">
        <v>2018</v>
      </c>
      <c r="E100">
        <f>VLOOKUP(default_1!F114,Hoja1!$AD$1:$AE$176,2,FALSE)</f>
        <v>14</v>
      </c>
      <c r="F100" s="1" t="s">
        <v>879</v>
      </c>
      <c r="G100" t="s">
        <v>880</v>
      </c>
      <c r="H100" t="s">
        <v>147</v>
      </c>
      <c r="J100">
        <v>150000000</v>
      </c>
      <c r="K100">
        <v>18</v>
      </c>
      <c r="L100" t="s">
        <v>210</v>
      </c>
      <c r="M100" t="s">
        <v>28</v>
      </c>
      <c r="N100" t="s">
        <v>29</v>
      </c>
      <c r="O100">
        <v>1</v>
      </c>
      <c r="P100">
        <v>1</v>
      </c>
      <c r="R100">
        <v>0</v>
      </c>
      <c r="S100" t="s">
        <v>118</v>
      </c>
      <c r="T100" t="s">
        <v>1061</v>
      </c>
      <c r="U100" t="s">
        <v>1548</v>
      </c>
      <c r="V100" t="s">
        <v>1527</v>
      </c>
      <c r="W100">
        <v>0</v>
      </c>
      <c r="Y100">
        <v>1</v>
      </c>
      <c r="AB100" t="s">
        <v>881</v>
      </c>
      <c r="AC100" t="s">
        <v>35</v>
      </c>
    </row>
    <row r="101" spans="1:29" x14ac:dyDescent="0.2">
      <c r="A101" t="s">
        <v>790</v>
      </c>
      <c r="B101" t="s">
        <v>154</v>
      </c>
      <c r="C101" t="s">
        <v>49</v>
      </c>
      <c r="D101">
        <v>2019</v>
      </c>
      <c r="E101">
        <f>VLOOKUP(default_1!F100,Hoja1!$AD$1:$AE$176,2,FALSE)</f>
        <v>12</v>
      </c>
      <c r="F101" s="1" t="s">
        <v>791</v>
      </c>
      <c r="G101" t="s">
        <v>792</v>
      </c>
      <c r="H101" t="s">
        <v>26</v>
      </c>
      <c r="I101" t="s">
        <v>1104</v>
      </c>
      <c r="J101">
        <v>1500000</v>
      </c>
      <c r="K101">
        <v>2</v>
      </c>
      <c r="L101" t="s">
        <v>41</v>
      </c>
      <c r="M101" t="s">
        <v>320</v>
      </c>
      <c r="N101" t="s">
        <v>29</v>
      </c>
      <c r="O101">
        <v>1</v>
      </c>
      <c r="P101">
        <v>1</v>
      </c>
      <c r="R101">
        <v>0</v>
      </c>
      <c r="S101" t="s">
        <v>56</v>
      </c>
      <c r="T101" t="s">
        <v>1067</v>
      </c>
      <c r="U101" t="s">
        <v>793</v>
      </c>
      <c r="V101" t="s">
        <v>1578</v>
      </c>
      <c r="W101">
        <v>0</v>
      </c>
      <c r="Y101">
        <v>1</v>
      </c>
      <c r="Z101" t="s">
        <v>793</v>
      </c>
      <c r="AC101" t="s">
        <v>35</v>
      </c>
    </row>
    <row r="102" spans="1:29" x14ac:dyDescent="0.2">
      <c r="A102" t="s">
        <v>317</v>
      </c>
      <c r="B102" t="s">
        <v>278</v>
      </c>
      <c r="C102" t="s">
        <v>279</v>
      </c>
      <c r="D102">
        <v>2023</v>
      </c>
      <c r="E102">
        <f>VLOOKUP(default_1!F132,Hoja1!$AD$1:$AE$176,2,FALSE)</f>
        <v>18</v>
      </c>
      <c r="F102" s="1" t="s">
        <v>318</v>
      </c>
      <c r="G102" t="s">
        <v>319</v>
      </c>
      <c r="H102" t="s">
        <v>26</v>
      </c>
      <c r="I102" t="s">
        <v>1106</v>
      </c>
      <c r="J102">
        <v>675000</v>
      </c>
      <c r="K102">
        <v>33</v>
      </c>
      <c r="L102" t="s">
        <v>41</v>
      </c>
      <c r="M102" t="s">
        <v>320</v>
      </c>
      <c r="N102" t="s">
        <v>29</v>
      </c>
      <c r="O102">
        <v>1</v>
      </c>
      <c r="P102">
        <v>1</v>
      </c>
      <c r="R102">
        <v>0</v>
      </c>
      <c r="S102" t="s">
        <v>118</v>
      </c>
      <c r="T102" t="s">
        <v>26</v>
      </c>
      <c r="U102" t="s">
        <v>284</v>
      </c>
      <c r="V102" t="s">
        <v>58</v>
      </c>
      <c r="W102">
        <v>0</v>
      </c>
      <c r="Y102">
        <v>1</v>
      </c>
      <c r="AA102" t="s">
        <v>285</v>
      </c>
      <c r="AB102" t="s">
        <v>434</v>
      </c>
      <c r="AC102" t="s">
        <v>35</v>
      </c>
    </row>
    <row r="103" spans="1:29" x14ac:dyDescent="0.2">
      <c r="A103" t="s">
        <v>562</v>
      </c>
      <c r="B103" t="s">
        <v>563</v>
      </c>
      <c r="C103" t="s">
        <v>92</v>
      </c>
      <c r="D103">
        <v>2020</v>
      </c>
      <c r="E103">
        <f>VLOOKUP(default_1!F67,Hoja1!$AD$1:$AE$176,2,FALSE)</f>
        <v>35</v>
      </c>
      <c r="F103" s="1" t="s">
        <v>564</v>
      </c>
      <c r="G103" t="s">
        <v>565</v>
      </c>
      <c r="H103" t="s">
        <v>147</v>
      </c>
      <c r="J103">
        <v>175154156</v>
      </c>
      <c r="K103">
        <v>31</v>
      </c>
      <c r="L103" t="s">
        <v>401</v>
      </c>
      <c r="M103" t="s">
        <v>183</v>
      </c>
      <c r="N103" t="s">
        <v>29</v>
      </c>
      <c r="O103">
        <v>1</v>
      </c>
      <c r="P103">
        <v>1</v>
      </c>
      <c r="R103">
        <v>0</v>
      </c>
      <c r="S103" t="s">
        <v>56</v>
      </c>
      <c r="T103" t="s">
        <v>1066</v>
      </c>
      <c r="U103" t="s">
        <v>1374</v>
      </c>
      <c r="V103" t="s">
        <v>58</v>
      </c>
      <c r="W103">
        <v>0</v>
      </c>
      <c r="Y103">
        <v>1</v>
      </c>
      <c r="Z103" t="s">
        <v>567</v>
      </c>
      <c r="AA103" t="s">
        <v>568</v>
      </c>
      <c r="AC103" t="s">
        <v>35</v>
      </c>
    </row>
    <row r="104" spans="1:29" x14ac:dyDescent="0.2">
      <c r="A104" t="s">
        <v>576</v>
      </c>
      <c r="B104" t="s">
        <v>37</v>
      </c>
      <c r="C104" t="s">
        <v>124</v>
      </c>
      <c r="D104">
        <v>2020</v>
      </c>
      <c r="E104">
        <f>VLOOKUP(default_1!F69,Hoja1!$AD$1:$AE$176,2,FALSE)</f>
        <v>4</v>
      </c>
      <c r="F104" s="1" t="s">
        <v>577</v>
      </c>
      <c r="G104" t="s">
        <v>578</v>
      </c>
      <c r="H104" t="s">
        <v>147</v>
      </c>
      <c r="J104">
        <v>5414028</v>
      </c>
      <c r="K104">
        <v>365</v>
      </c>
      <c r="L104" t="s">
        <v>41</v>
      </c>
      <c r="M104" t="s">
        <v>579</v>
      </c>
      <c r="N104" t="s">
        <v>158</v>
      </c>
      <c r="O104">
        <v>0</v>
      </c>
      <c r="P104">
        <v>1</v>
      </c>
      <c r="Q104" t="s">
        <v>466</v>
      </c>
      <c r="R104">
        <v>0</v>
      </c>
      <c r="S104" t="s">
        <v>30</v>
      </c>
      <c r="T104" t="s">
        <v>1058</v>
      </c>
      <c r="U104" t="s">
        <v>580</v>
      </c>
      <c r="V104" t="s">
        <v>32</v>
      </c>
      <c r="W104">
        <v>0</v>
      </c>
      <c r="Y104">
        <v>0</v>
      </c>
      <c r="Z104" t="s">
        <v>581</v>
      </c>
      <c r="AA104" t="s">
        <v>582</v>
      </c>
      <c r="AB104" t="s">
        <v>405</v>
      </c>
      <c r="AC104" t="s">
        <v>583</v>
      </c>
    </row>
    <row r="105" spans="1:29" x14ac:dyDescent="0.2">
      <c r="A105" t="s">
        <v>672</v>
      </c>
      <c r="B105" t="s">
        <v>673</v>
      </c>
      <c r="C105" t="s">
        <v>463</v>
      </c>
      <c r="D105">
        <v>2020</v>
      </c>
      <c r="E105">
        <f>VLOOKUP(default_1!F82,Hoja1!$AD$1:$AE$176,2,FALSE)</f>
        <v>4</v>
      </c>
      <c r="F105" s="1" t="s">
        <v>674</v>
      </c>
      <c r="G105" t="s">
        <v>675</v>
      </c>
      <c r="H105" t="s">
        <v>147</v>
      </c>
      <c r="J105">
        <v>2640000</v>
      </c>
      <c r="K105">
        <v>8</v>
      </c>
      <c r="L105" t="s">
        <v>53</v>
      </c>
      <c r="M105" t="s">
        <v>676</v>
      </c>
      <c r="N105" t="s">
        <v>158</v>
      </c>
      <c r="O105">
        <v>0</v>
      </c>
      <c r="P105">
        <v>1</v>
      </c>
      <c r="Q105" t="s">
        <v>677</v>
      </c>
      <c r="R105">
        <v>0</v>
      </c>
      <c r="S105" t="s">
        <v>56</v>
      </c>
      <c r="T105" t="s">
        <v>1070</v>
      </c>
      <c r="U105" t="s">
        <v>1554</v>
      </c>
      <c r="V105" t="s">
        <v>678</v>
      </c>
      <c r="W105">
        <v>0</v>
      </c>
      <c r="Y105">
        <v>0</v>
      </c>
      <c r="AA105" t="s">
        <v>679</v>
      </c>
      <c r="AC105" t="s">
        <v>35</v>
      </c>
    </row>
    <row r="106" spans="1:29" x14ac:dyDescent="0.2">
      <c r="A106" t="s">
        <v>21</v>
      </c>
      <c r="B106" t="s">
        <v>22</v>
      </c>
      <c r="C106" t="s">
        <v>23</v>
      </c>
      <c r="D106">
        <v>2023</v>
      </c>
      <c r="E106">
        <f>VLOOKUP(default_1!F2,Hoja1!$AD$1:$AE$176,2,FALSE)</f>
        <v>37</v>
      </c>
      <c r="F106" s="1" t="s">
        <v>24</v>
      </c>
      <c r="G106" t="s">
        <v>25</v>
      </c>
      <c r="H106" t="s">
        <v>26</v>
      </c>
      <c r="I106" t="s">
        <v>1085</v>
      </c>
      <c r="J106">
        <v>1800000</v>
      </c>
      <c r="K106">
        <v>30</v>
      </c>
      <c r="L106" t="s">
        <v>27</v>
      </c>
      <c r="M106" t="s">
        <v>28</v>
      </c>
      <c r="N106" t="s">
        <v>29</v>
      </c>
      <c r="O106">
        <v>1</v>
      </c>
      <c r="P106">
        <v>1</v>
      </c>
      <c r="R106">
        <v>0</v>
      </c>
      <c r="S106" t="s">
        <v>30</v>
      </c>
      <c r="T106" t="s">
        <v>1058</v>
      </c>
      <c r="U106" t="s">
        <v>31</v>
      </c>
      <c r="V106" t="s">
        <v>32</v>
      </c>
      <c r="W106">
        <v>0</v>
      </c>
      <c r="X106" t="s">
        <v>33</v>
      </c>
      <c r="Y106">
        <v>0</v>
      </c>
      <c r="AA106" t="s">
        <v>34</v>
      </c>
      <c r="AC106" t="s">
        <v>35</v>
      </c>
    </row>
    <row r="107" spans="1:29" x14ac:dyDescent="0.2">
      <c r="A107" t="s">
        <v>706</v>
      </c>
      <c r="B107" t="s">
        <v>707</v>
      </c>
      <c r="D107">
        <v>2020</v>
      </c>
      <c r="E107">
        <f>VLOOKUP(default_1!F88,Hoja1!$AD$1:$AE$176,2,FALSE)</f>
        <v>13</v>
      </c>
      <c r="F107" s="1" t="s">
        <v>708</v>
      </c>
      <c r="G107" t="s">
        <v>709</v>
      </c>
      <c r="H107" t="s">
        <v>400</v>
      </c>
      <c r="K107">
        <v>25</v>
      </c>
      <c r="L107" t="s">
        <v>401</v>
      </c>
      <c r="M107" t="s">
        <v>1271</v>
      </c>
      <c r="N107" t="s">
        <v>29</v>
      </c>
      <c r="O107">
        <v>1</v>
      </c>
      <c r="P107">
        <v>1</v>
      </c>
      <c r="R107">
        <v>0</v>
      </c>
      <c r="S107" t="s">
        <v>56</v>
      </c>
      <c r="T107" t="s">
        <v>1067</v>
      </c>
      <c r="U107" t="s">
        <v>57</v>
      </c>
      <c r="V107" t="s">
        <v>58</v>
      </c>
      <c r="W107">
        <v>0</v>
      </c>
      <c r="Y107">
        <v>0</v>
      </c>
      <c r="AA107" t="s">
        <v>711</v>
      </c>
      <c r="AC107" t="s">
        <v>35</v>
      </c>
    </row>
    <row r="108" spans="1:29" x14ac:dyDescent="0.2">
      <c r="A108" t="s">
        <v>819</v>
      </c>
      <c r="B108" t="s">
        <v>170</v>
      </c>
      <c r="C108" t="s">
        <v>75</v>
      </c>
      <c r="D108">
        <v>2018</v>
      </c>
      <c r="E108">
        <f>VLOOKUP(default_1!F105,Hoja1!$AD$1:$AE$176,2,FALSE)</f>
        <v>18</v>
      </c>
      <c r="F108" s="1" t="s">
        <v>820</v>
      </c>
      <c r="G108" t="s">
        <v>821</v>
      </c>
      <c r="H108" t="s">
        <v>105</v>
      </c>
      <c r="J108">
        <v>108000000</v>
      </c>
      <c r="K108">
        <v>27</v>
      </c>
      <c r="L108" t="s">
        <v>822</v>
      </c>
      <c r="M108" t="s">
        <v>1271</v>
      </c>
      <c r="N108" t="s">
        <v>29</v>
      </c>
      <c r="O108">
        <v>0</v>
      </c>
      <c r="P108">
        <v>1</v>
      </c>
      <c r="Q108" t="s">
        <v>726</v>
      </c>
      <c r="R108">
        <v>0</v>
      </c>
      <c r="S108" t="s">
        <v>149</v>
      </c>
      <c r="T108" t="s">
        <v>1060</v>
      </c>
      <c r="U108" t="s">
        <v>823</v>
      </c>
      <c r="V108" t="s">
        <v>728</v>
      </c>
      <c r="W108">
        <v>0</v>
      </c>
      <c r="Y108">
        <v>1</v>
      </c>
      <c r="AA108" t="s">
        <v>824</v>
      </c>
      <c r="AC108" t="s">
        <v>89</v>
      </c>
    </row>
    <row r="109" spans="1:29" x14ac:dyDescent="0.2">
      <c r="A109" t="s">
        <v>256</v>
      </c>
      <c r="B109" t="s">
        <v>257</v>
      </c>
      <c r="C109" t="s">
        <v>258</v>
      </c>
      <c r="D109">
        <v>2022</v>
      </c>
      <c r="E109">
        <f>VLOOKUP(default_1!F26,Hoja1!$AD$1:$AE$176,2,FALSE)</f>
        <v>20</v>
      </c>
      <c r="F109" s="1" t="s">
        <v>259</v>
      </c>
      <c r="G109" t="s">
        <v>260</v>
      </c>
      <c r="H109" t="s">
        <v>105</v>
      </c>
      <c r="J109">
        <v>371000000</v>
      </c>
      <c r="K109">
        <v>117</v>
      </c>
      <c r="L109" t="s">
        <v>261</v>
      </c>
      <c r="M109" t="s">
        <v>262</v>
      </c>
      <c r="N109" t="s">
        <v>29</v>
      </c>
      <c r="O109">
        <v>1</v>
      </c>
      <c r="P109">
        <v>1</v>
      </c>
      <c r="R109">
        <v>1</v>
      </c>
      <c r="S109" t="s">
        <v>44</v>
      </c>
      <c r="T109" t="s">
        <v>1191</v>
      </c>
      <c r="U109" t="s">
        <v>263</v>
      </c>
      <c r="V109" t="s">
        <v>264</v>
      </c>
      <c r="W109">
        <v>1</v>
      </c>
      <c r="X109" t="s">
        <v>265</v>
      </c>
      <c r="Y109">
        <v>0</v>
      </c>
      <c r="AA109" t="s">
        <v>266</v>
      </c>
      <c r="AC109" t="s">
        <v>35</v>
      </c>
    </row>
    <row r="110" spans="1:29" x14ac:dyDescent="0.2">
      <c r="A110" t="s">
        <v>1002</v>
      </c>
      <c r="B110" t="s">
        <v>1003</v>
      </c>
      <c r="C110" t="s">
        <v>199</v>
      </c>
      <c r="D110">
        <v>2015</v>
      </c>
      <c r="E110">
        <f>VLOOKUP(default_1!F135,Hoja1!$AD$1:$AE$176,2,FALSE)</f>
        <v>77</v>
      </c>
      <c r="F110" s="1" t="s">
        <v>1004</v>
      </c>
      <c r="G110" t="s">
        <v>1005</v>
      </c>
      <c r="H110" t="s">
        <v>147</v>
      </c>
      <c r="J110">
        <v>22030000</v>
      </c>
      <c r="K110">
        <v>274</v>
      </c>
      <c r="L110" t="s">
        <v>822</v>
      </c>
      <c r="M110" t="s">
        <v>28</v>
      </c>
      <c r="N110" t="s">
        <v>29</v>
      </c>
      <c r="O110">
        <v>0</v>
      </c>
      <c r="P110">
        <v>1</v>
      </c>
      <c r="Q110" t="s">
        <v>1006</v>
      </c>
      <c r="R110">
        <v>0</v>
      </c>
      <c r="S110" t="s">
        <v>118</v>
      </c>
      <c r="T110" t="s">
        <v>1061</v>
      </c>
      <c r="U110" t="s">
        <v>1007</v>
      </c>
      <c r="V110" t="s">
        <v>574</v>
      </c>
      <c r="W110">
        <v>1</v>
      </c>
      <c r="X110" t="s">
        <v>1008</v>
      </c>
      <c r="Y110">
        <v>1</v>
      </c>
      <c r="AA110" t="s">
        <v>162</v>
      </c>
      <c r="AC110" t="s">
        <v>35</v>
      </c>
    </row>
    <row r="111" spans="1:29" x14ac:dyDescent="0.2">
      <c r="A111" t="s">
        <v>978</v>
      </c>
      <c r="B111" t="s">
        <v>979</v>
      </c>
      <c r="D111">
        <v>2016</v>
      </c>
      <c r="E111">
        <f>VLOOKUP(default_1!F131,Hoja1!$AD$1:$AE$176,2,FALSE)</f>
        <v>12</v>
      </c>
      <c r="F111" s="1" t="s">
        <v>980</v>
      </c>
      <c r="G111" t="s">
        <v>981</v>
      </c>
      <c r="H111" t="s">
        <v>147</v>
      </c>
      <c r="J111">
        <v>24257353</v>
      </c>
      <c r="K111">
        <v>61</v>
      </c>
      <c r="L111" t="s">
        <v>982</v>
      </c>
      <c r="M111" t="s">
        <v>78</v>
      </c>
      <c r="N111" t="s">
        <v>158</v>
      </c>
      <c r="O111">
        <v>1</v>
      </c>
      <c r="P111">
        <v>1</v>
      </c>
      <c r="R111">
        <v>0</v>
      </c>
      <c r="S111" t="s">
        <v>118</v>
      </c>
      <c r="T111" t="s">
        <v>1061</v>
      </c>
      <c r="U111" t="s">
        <v>983</v>
      </c>
      <c r="V111" t="s">
        <v>984</v>
      </c>
      <c r="W111">
        <v>0</v>
      </c>
      <c r="Y111">
        <v>0</v>
      </c>
      <c r="Z111" t="s">
        <v>985</v>
      </c>
      <c r="AA111" t="s">
        <v>168</v>
      </c>
      <c r="AC111" t="s">
        <v>35</v>
      </c>
    </row>
    <row r="112" spans="1:29" x14ac:dyDescent="0.2">
      <c r="A112" t="s">
        <v>123</v>
      </c>
      <c r="B112" t="s">
        <v>37</v>
      </c>
      <c r="C112" t="s">
        <v>124</v>
      </c>
      <c r="D112">
        <v>2022</v>
      </c>
      <c r="E112">
        <f>VLOOKUP(default_1!F113,Hoja1!$AD$1:$AE$176,2,FALSE)</f>
        <v>13</v>
      </c>
      <c r="F112" s="1" t="s">
        <v>125</v>
      </c>
      <c r="G112" t="s">
        <v>126</v>
      </c>
      <c r="H112" t="s">
        <v>26</v>
      </c>
      <c r="I112" t="s">
        <v>1087</v>
      </c>
      <c r="J112">
        <v>206230715</v>
      </c>
      <c r="K112">
        <v>31</v>
      </c>
      <c r="L112" t="s">
        <v>53</v>
      </c>
      <c r="M112" t="s">
        <v>127</v>
      </c>
      <c r="N112" t="s">
        <v>67</v>
      </c>
      <c r="O112">
        <v>0</v>
      </c>
      <c r="P112">
        <v>0</v>
      </c>
      <c r="Q112" t="s">
        <v>128</v>
      </c>
      <c r="R112">
        <v>0</v>
      </c>
      <c r="S112" t="s">
        <v>118</v>
      </c>
      <c r="T112" t="s">
        <v>26</v>
      </c>
      <c r="U112" t="s">
        <v>129</v>
      </c>
      <c r="V112" t="s">
        <v>130</v>
      </c>
      <c r="W112">
        <v>0</v>
      </c>
      <c r="Y112">
        <v>1</v>
      </c>
      <c r="AA112" t="s">
        <v>131</v>
      </c>
      <c r="AC112" t="s">
        <v>35</v>
      </c>
    </row>
    <row r="113" spans="1:29" x14ac:dyDescent="0.2">
      <c r="A113" t="s">
        <v>764</v>
      </c>
      <c r="B113" t="s">
        <v>37</v>
      </c>
      <c r="C113" t="s">
        <v>38</v>
      </c>
      <c r="D113">
        <v>2019</v>
      </c>
      <c r="E113">
        <f>VLOOKUP(default_1!F96,Hoja1!$AD$1:$AE$176,2,FALSE)</f>
        <v>17</v>
      </c>
      <c r="F113" s="1" t="s">
        <v>765</v>
      </c>
      <c r="G113" t="s">
        <v>766</v>
      </c>
      <c r="H113" t="s">
        <v>26</v>
      </c>
      <c r="I113" t="s">
        <v>1087</v>
      </c>
      <c r="J113">
        <v>517203124</v>
      </c>
      <c r="K113">
        <v>92</v>
      </c>
      <c r="L113" t="s">
        <v>401</v>
      </c>
      <c r="M113" t="s">
        <v>183</v>
      </c>
      <c r="N113" t="s">
        <v>29</v>
      </c>
      <c r="O113">
        <v>1</v>
      </c>
      <c r="P113">
        <v>1</v>
      </c>
      <c r="R113">
        <v>0</v>
      </c>
      <c r="S113" t="s">
        <v>118</v>
      </c>
      <c r="T113" t="s">
        <v>1060</v>
      </c>
      <c r="U113" t="s">
        <v>79</v>
      </c>
      <c r="V113" t="s">
        <v>79</v>
      </c>
      <c r="W113">
        <v>0</v>
      </c>
      <c r="Y113">
        <v>1</v>
      </c>
      <c r="AB113" t="s">
        <v>1057</v>
      </c>
      <c r="AC113" t="s">
        <v>35</v>
      </c>
    </row>
    <row r="114" spans="1:29" x14ac:dyDescent="0.2">
      <c r="A114" t="s">
        <v>825</v>
      </c>
      <c r="B114" t="s">
        <v>826</v>
      </c>
      <c r="C114" t="s">
        <v>92</v>
      </c>
      <c r="D114">
        <v>2018</v>
      </c>
      <c r="E114">
        <f>VLOOKUP(default_1!F106,Hoja1!$AD$1:$AE$176,2,FALSE)</f>
        <v>2</v>
      </c>
      <c r="F114" s="1" t="s">
        <v>827</v>
      </c>
      <c r="G114" t="s">
        <v>828</v>
      </c>
      <c r="H114" t="s">
        <v>26</v>
      </c>
      <c r="I114" t="s">
        <v>1087</v>
      </c>
      <c r="J114">
        <v>1700000000</v>
      </c>
      <c r="K114">
        <v>62</v>
      </c>
      <c r="L114" t="s">
        <v>95</v>
      </c>
      <c r="M114" t="s">
        <v>28</v>
      </c>
      <c r="N114" t="s">
        <v>29</v>
      </c>
      <c r="O114">
        <v>0</v>
      </c>
      <c r="P114">
        <v>1</v>
      </c>
      <c r="Q114" t="s">
        <v>829</v>
      </c>
      <c r="R114">
        <v>0</v>
      </c>
      <c r="S114" t="s">
        <v>283</v>
      </c>
      <c r="T114" t="s">
        <v>1066</v>
      </c>
      <c r="U114" t="s">
        <v>830</v>
      </c>
      <c r="V114" t="s">
        <v>1578</v>
      </c>
      <c r="W114">
        <v>0</v>
      </c>
      <c r="Y114">
        <v>0</v>
      </c>
      <c r="Z114" t="s">
        <v>831</v>
      </c>
      <c r="AA114" t="s">
        <v>832</v>
      </c>
      <c r="AB114" t="s">
        <v>1080</v>
      </c>
      <c r="AC114" t="s">
        <v>89</v>
      </c>
    </row>
    <row r="115" spans="1:29" x14ac:dyDescent="0.2">
      <c r="A115" t="s">
        <v>801</v>
      </c>
      <c r="B115" t="s">
        <v>802</v>
      </c>
      <c r="D115">
        <v>2019</v>
      </c>
      <c r="E115">
        <f>VLOOKUP(default_1!F102,Hoja1!$AD$1:$AE$176,2,FALSE)</f>
        <v>7</v>
      </c>
      <c r="F115" s="1" t="s">
        <v>803</v>
      </c>
      <c r="G115" t="s">
        <v>804</v>
      </c>
      <c r="H115" t="s">
        <v>147</v>
      </c>
      <c r="J115">
        <v>60230000</v>
      </c>
      <c r="K115">
        <v>43</v>
      </c>
      <c r="L115" t="s">
        <v>210</v>
      </c>
      <c r="M115" t="s">
        <v>84</v>
      </c>
      <c r="N115" t="s">
        <v>29</v>
      </c>
      <c r="O115">
        <v>1</v>
      </c>
      <c r="P115">
        <v>1</v>
      </c>
      <c r="R115">
        <v>0</v>
      </c>
      <c r="S115" t="s">
        <v>30</v>
      </c>
      <c r="T115" t="s">
        <v>1060</v>
      </c>
      <c r="U115" t="s">
        <v>1497</v>
      </c>
      <c r="V115" t="s">
        <v>805</v>
      </c>
      <c r="W115">
        <v>0</v>
      </c>
      <c r="Y115">
        <v>1</v>
      </c>
      <c r="AA115" t="s">
        <v>806</v>
      </c>
      <c r="AB115" t="s">
        <v>807</v>
      </c>
      <c r="AC115" t="s">
        <v>122</v>
      </c>
    </row>
    <row r="116" spans="1:29" x14ac:dyDescent="0.2">
      <c r="A116" t="s">
        <v>867</v>
      </c>
      <c r="B116" t="s">
        <v>37</v>
      </c>
      <c r="C116" t="s">
        <v>224</v>
      </c>
      <c r="D116">
        <v>2018</v>
      </c>
      <c r="E116">
        <f>VLOOKUP(default_1!F112,Hoja1!$AD$1:$AE$176,2,FALSE)</f>
        <v>11</v>
      </c>
      <c r="F116" s="1" t="s">
        <v>868</v>
      </c>
      <c r="G116" t="s">
        <v>869</v>
      </c>
      <c r="H116" t="s">
        <v>26</v>
      </c>
      <c r="I116" t="s">
        <v>1107</v>
      </c>
      <c r="J116">
        <v>69160000</v>
      </c>
      <c r="K116">
        <v>7</v>
      </c>
      <c r="L116" t="s">
        <v>271</v>
      </c>
      <c r="M116" t="s">
        <v>127</v>
      </c>
      <c r="N116" t="s">
        <v>67</v>
      </c>
      <c r="O116">
        <v>0</v>
      </c>
      <c r="P116">
        <v>1</v>
      </c>
      <c r="Q116" t="s">
        <v>107</v>
      </c>
      <c r="R116">
        <v>0</v>
      </c>
      <c r="S116" t="s">
        <v>118</v>
      </c>
      <c r="T116" t="s">
        <v>1060</v>
      </c>
      <c r="U116" t="s">
        <v>1542</v>
      </c>
      <c r="V116" t="s">
        <v>130</v>
      </c>
      <c r="W116">
        <v>0</v>
      </c>
      <c r="Y116">
        <v>0</v>
      </c>
      <c r="AA116" t="s">
        <v>870</v>
      </c>
      <c r="AC116" t="s">
        <v>122</v>
      </c>
    </row>
    <row r="117" spans="1:29" x14ac:dyDescent="0.2">
      <c r="A117" t="s">
        <v>700</v>
      </c>
      <c r="B117" t="s">
        <v>701</v>
      </c>
      <c r="D117">
        <v>2020</v>
      </c>
      <c r="E117">
        <f>VLOOKUP(default_1!F87,Hoja1!$AD$1:$AE$176,2,FALSE)</f>
        <v>11</v>
      </c>
      <c r="F117" s="1" t="s">
        <v>702</v>
      </c>
      <c r="G117" t="s">
        <v>703</v>
      </c>
      <c r="H117" t="s">
        <v>26</v>
      </c>
      <c r="I117" t="s">
        <v>1092</v>
      </c>
      <c r="K117">
        <v>315</v>
      </c>
      <c r="L117" t="s">
        <v>41</v>
      </c>
      <c r="M117" t="s">
        <v>704</v>
      </c>
      <c r="N117" t="s">
        <v>158</v>
      </c>
      <c r="O117">
        <v>1</v>
      </c>
      <c r="P117">
        <v>1</v>
      </c>
      <c r="R117">
        <v>0</v>
      </c>
      <c r="S117" t="s">
        <v>118</v>
      </c>
      <c r="T117" t="s">
        <v>1060</v>
      </c>
      <c r="U117" t="s">
        <v>705</v>
      </c>
      <c r="V117" t="s">
        <v>373</v>
      </c>
      <c r="W117">
        <v>0</v>
      </c>
      <c r="Y117">
        <v>1</v>
      </c>
      <c r="AB117" t="s">
        <v>405</v>
      </c>
      <c r="AC117" t="s">
        <v>35</v>
      </c>
    </row>
    <row r="118" spans="1:29" x14ac:dyDescent="0.2">
      <c r="A118" t="s">
        <v>863</v>
      </c>
      <c r="B118" t="s">
        <v>35</v>
      </c>
      <c r="C118" t="s">
        <v>224</v>
      </c>
      <c r="D118">
        <v>2018</v>
      </c>
      <c r="E118">
        <f>VLOOKUP(default_1!F35,Hoja1!$AD$1:$AE$176,2,FALSE)</f>
        <v>14</v>
      </c>
      <c r="F118" s="1" t="s">
        <v>864</v>
      </c>
      <c r="G118" t="s">
        <v>865</v>
      </c>
      <c r="H118" t="s">
        <v>26</v>
      </c>
      <c r="I118" t="s">
        <v>1087</v>
      </c>
      <c r="J118">
        <v>639979438</v>
      </c>
      <c r="K118">
        <v>49</v>
      </c>
      <c r="L118" t="s">
        <v>866</v>
      </c>
      <c r="M118" t="s">
        <v>1271</v>
      </c>
      <c r="N118" t="s">
        <v>67</v>
      </c>
      <c r="O118">
        <v>1</v>
      </c>
      <c r="P118">
        <v>1</v>
      </c>
      <c r="R118">
        <v>0</v>
      </c>
      <c r="S118" t="s">
        <v>118</v>
      </c>
      <c r="T118" t="s">
        <v>1061</v>
      </c>
      <c r="U118" t="s">
        <v>228</v>
      </c>
      <c r="V118" t="s">
        <v>32</v>
      </c>
      <c r="W118">
        <v>0</v>
      </c>
      <c r="Y118">
        <v>0</v>
      </c>
      <c r="AC118" t="s">
        <v>35</v>
      </c>
    </row>
    <row r="119" spans="1:29" x14ac:dyDescent="0.2">
      <c r="A119" t="s">
        <v>454</v>
      </c>
      <c r="B119" t="s">
        <v>91</v>
      </c>
      <c r="C119" t="s">
        <v>224</v>
      </c>
      <c r="D119">
        <v>2021</v>
      </c>
      <c r="E119">
        <f>VLOOKUP(default_1!F52,Hoja1!$AD$1:$AE$176,2,FALSE)</f>
        <v>4</v>
      </c>
      <c r="F119" s="1" t="s">
        <v>455</v>
      </c>
      <c r="G119" t="s">
        <v>456</v>
      </c>
      <c r="H119" t="s">
        <v>105</v>
      </c>
      <c r="K119">
        <v>30</v>
      </c>
      <c r="L119" t="s">
        <v>53</v>
      </c>
      <c r="M119" t="s">
        <v>457</v>
      </c>
      <c r="N119" t="s">
        <v>29</v>
      </c>
      <c r="O119">
        <v>1</v>
      </c>
      <c r="P119">
        <v>1</v>
      </c>
      <c r="R119">
        <v>0</v>
      </c>
      <c r="S119" t="s">
        <v>56</v>
      </c>
      <c r="T119" t="s">
        <v>1073</v>
      </c>
      <c r="U119" t="s">
        <v>458</v>
      </c>
      <c r="V119" t="s">
        <v>459</v>
      </c>
      <c r="W119">
        <v>0</v>
      </c>
      <c r="Y119">
        <v>1</v>
      </c>
      <c r="Z119" t="s">
        <v>460</v>
      </c>
      <c r="AC119" t="s">
        <v>35</v>
      </c>
    </row>
    <row r="120" spans="1:29" x14ac:dyDescent="0.2">
      <c r="A120" t="s">
        <v>397</v>
      </c>
      <c r="B120" t="s">
        <v>170</v>
      </c>
      <c r="C120" t="s">
        <v>144</v>
      </c>
      <c r="D120">
        <v>2021</v>
      </c>
      <c r="E120">
        <f>VLOOKUP(default_1!F44,Hoja1!$AD$1:$AE$176,2,FALSE)</f>
        <v>9</v>
      </c>
      <c r="F120" s="1" t="s">
        <v>398</v>
      </c>
      <c r="G120" t="s">
        <v>399</v>
      </c>
      <c r="H120" t="s">
        <v>400</v>
      </c>
      <c r="J120">
        <v>5000000</v>
      </c>
      <c r="K120">
        <v>35</v>
      </c>
      <c r="L120" t="s">
        <v>401</v>
      </c>
      <c r="M120" t="s">
        <v>1271</v>
      </c>
      <c r="N120" t="s">
        <v>29</v>
      </c>
      <c r="O120">
        <v>1</v>
      </c>
      <c r="P120">
        <v>1</v>
      </c>
      <c r="R120">
        <v>0</v>
      </c>
      <c r="S120" t="s">
        <v>56</v>
      </c>
      <c r="T120" t="s">
        <v>1073</v>
      </c>
      <c r="U120" t="s">
        <v>402</v>
      </c>
      <c r="V120" t="s">
        <v>1576</v>
      </c>
      <c r="W120">
        <v>0</v>
      </c>
      <c r="Y120">
        <v>0</v>
      </c>
      <c r="AA120" t="s">
        <v>404</v>
      </c>
      <c r="AB120" t="s">
        <v>405</v>
      </c>
      <c r="AC120" t="s">
        <v>122</v>
      </c>
    </row>
    <row r="121" spans="1:29" x14ac:dyDescent="0.2">
      <c r="A121" t="s">
        <v>964</v>
      </c>
      <c r="B121" t="s">
        <v>37</v>
      </c>
      <c r="C121" t="s">
        <v>63</v>
      </c>
      <c r="D121">
        <v>2016</v>
      </c>
      <c r="E121">
        <f>VLOOKUP(default_1!F128,Hoja1!$AD$1:$AE$176,2,FALSE)</f>
        <v>47</v>
      </c>
      <c r="F121" s="1" t="s">
        <v>965</v>
      </c>
      <c r="G121" t="s">
        <v>966</v>
      </c>
      <c r="H121" t="s">
        <v>147</v>
      </c>
      <c r="K121">
        <v>181</v>
      </c>
      <c r="L121" t="s">
        <v>822</v>
      </c>
      <c r="M121" t="s">
        <v>752</v>
      </c>
      <c r="N121" t="s">
        <v>29</v>
      </c>
      <c r="O121">
        <v>0</v>
      </c>
      <c r="P121">
        <v>1</v>
      </c>
      <c r="Q121" t="s">
        <v>687</v>
      </c>
      <c r="R121">
        <v>0</v>
      </c>
      <c r="S121" t="s">
        <v>118</v>
      </c>
      <c r="T121" t="s">
        <v>687</v>
      </c>
      <c r="U121" t="s">
        <v>32</v>
      </c>
      <c r="V121" t="s">
        <v>32</v>
      </c>
      <c r="W121">
        <v>0</v>
      </c>
      <c r="Y121">
        <v>1</v>
      </c>
      <c r="Z121" t="s">
        <v>967</v>
      </c>
      <c r="AA121" t="s">
        <v>968</v>
      </c>
      <c r="AC121" t="s">
        <v>122</v>
      </c>
    </row>
    <row r="122" spans="1:29" x14ac:dyDescent="0.2">
      <c r="A122" t="s">
        <v>163</v>
      </c>
      <c r="B122" t="s">
        <v>154</v>
      </c>
      <c r="C122" t="s">
        <v>49</v>
      </c>
      <c r="D122">
        <v>2023</v>
      </c>
      <c r="E122">
        <f>VLOOKUP(default_1!F15,Hoja1!$AD$1:$AE$176,2,FALSE)</f>
        <v>141</v>
      </c>
      <c r="F122" s="1" t="s">
        <v>164</v>
      </c>
      <c r="G122" t="s">
        <v>165</v>
      </c>
      <c r="H122" t="s">
        <v>147</v>
      </c>
      <c r="J122">
        <v>79602147</v>
      </c>
      <c r="K122">
        <v>31</v>
      </c>
      <c r="L122" t="s">
        <v>27</v>
      </c>
      <c r="M122" t="s">
        <v>157</v>
      </c>
      <c r="N122" t="s">
        <v>158</v>
      </c>
      <c r="O122">
        <v>1</v>
      </c>
      <c r="P122">
        <v>1</v>
      </c>
      <c r="R122">
        <v>0</v>
      </c>
      <c r="S122" t="s">
        <v>56</v>
      </c>
      <c r="T122" t="s">
        <v>1062</v>
      </c>
      <c r="U122" t="s">
        <v>1338</v>
      </c>
      <c r="V122" t="s">
        <v>58</v>
      </c>
      <c r="W122">
        <v>0</v>
      </c>
      <c r="Y122">
        <v>1</v>
      </c>
      <c r="Z122" t="s">
        <v>167</v>
      </c>
      <c r="AA122" t="s">
        <v>168</v>
      </c>
      <c r="AC122" t="s">
        <v>35</v>
      </c>
    </row>
    <row r="123" spans="1:29" x14ac:dyDescent="0.2">
      <c r="A123" t="s">
        <v>783</v>
      </c>
      <c r="B123" t="s">
        <v>784</v>
      </c>
      <c r="C123" t="s">
        <v>38</v>
      </c>
      <c r="D123">
        <v>2019</v>
      </c>
      <c r="E123">
        <f>VLOOKUP(default_1!F99,Hoja1!$AD$1:$AE$176,2,FALSE)</f>
        <v>69</v>
      </c>
      <c r="F123" s="1" t="s">
        <v>785</v>
      </c>
      <c r="G123" t="s">
        <v>786</v>
      </c>
      <c r="H123" t="s">
        <v>26</v>
      </c>
      <c r="I123" t="s">
        <v>1087</v>
      </c>
      <c r="J123">
        <v>7990663732</v>
      </c>
      <c r="K123">
        <v>62</v>
      </c>
      <c r="L123" t="s">
        <v>787</v>
      </c>
      <c r="M123" t="s">
        <v>28</v>
      </c>
      <c r="N123" t="s">
        <v>29</v>
      </c>
      <c r="O123">
        <v>1</v>
      </c>
      <c r="P123">
        <v>1</v>
      </c>
      <c r="R123">
        <v>0</v>
      </c>
      <c r="S123" t="s">
        <v>118</v>
      </c>
      <c r="T123" t="s">
        <v>1060</v>
      </c>
      <c r="U123" t="s">
        <v>788</v>
      </c>
      <c r="V123" t="s">
        <v>79</v>
      </c>
      <c r="W123">
        <v>0</v>
      </c>
      <c r="Y123">
        <v>1</v>
      </c>
      <c r="Z123" t="s">
        <v>789</v>
      </c>
      <c r="AB123" t="s">
        <v>1565</v>
      </c>
      <c r="AC123" t="s">
        <v>122</v>
      </c>
    </row>
    <row r="124" spans="1:29" x14ac:dyDescent="0.2">
      <c r="A124" t="s">
        <v>286</v>
      </c>
      <c r="B124" t="s">
        <v>287</v>
      </c>
      <c r="C124" t="s">
        <v>288</v>
      </c>
      <c r="D124">
        <v>2022</v>
      </c>
      <c r="E124">
        <f>VLOOKUP(default_1!F140,Hoja1!$AD$1:$AE$176,2,FALSE)</f>
        <v>41</v>
      </c>
      <c r="F124" s="1" t="s">
        <v>289</v>
      </c>
      <c r="G124" t="s">
        <v>290</v>
      </c>
      <c r="H124" t="s">
        <v>147</v>
      </c>
      <c r="K124">
        <v>4</v>
      </c>
      <c r="L124" t="s">
        <v>27</v>
      </c>
      <c r="M124" t="s">
        <v>291</v>
      </c>
      <c r="O124">
        <v>0</v>
      </c>
      <c r="P124">
        <v>1</v>
      </c>
      <c r="Q124" t="s">
        <v>292</v>
      </c>
      <c r="R124">
        <v>0</v>
      </c>
      <c r="S124" t="s">
        <v>56</v>
      </c>
      <c r="T124" t="s">
        <v>1063</v>
      </c>
      <c r="U124" t="s">
        <v>1543</v>
      </c>
      <c r="V124" t="s">
        <v>293</v>
      </c>
      <c r="W124">
        <v>0</v>
      </c>
      <c r="Y124">
        <v>1</v>
      </c>
      <c r="Z124" t="s">
        <v>294</v>
      </c>
      <c r="AA124" t="s">
        <v>295</v>
      </c>
      <c r="AB124" t="s">
        <v>296</v>
      </c>
      <c r="AC124" t="s">
        <v>35</v>
      </c>
    </row>
    <row r="125" spans="1:29" x14ac:dyDescent="0.2">
      <c r="A125" t="s">
        <v>946</v>
      </c>
      <c r="B125" t="s">
        <v>37</v>
      </c>
      <c r="C125" t="s">
        <v>207</v>
      </c>
      <c r="D125">
        <v>2017</v>
      </c>
      <c r="E125">
        <f>VLOOKUP(default_1!F125,Hoja1!$AD$1:$AE$176,2,FALSE)</f>
        <v>295</v>
      </c>
      <c r="F125" s="1" t="s">
        <v>947</v>
      </c>
      <c r="G125" t="s">
        <v>948</v>
      </c>
      <c r="H125" t="s">
        <v>26</v>
      </c>
      <c r="I125" t="s">
        <v>1087</v>
      </c>
      <c r="J125">
        <v>364846374</v>
      </c>
      <c r="K125">
        <v>30</v>
      </c>
      <c r="L125" t="s">
        <v>210</v>
      </c>
      <c r="M125" t="s">
        <v>28</v>
      </c>
      <c r="N125" t="s">
        <v>29</v>
      </c>
      <c r="O125">
        <v>1</v>
      </c>
      <c r="P125">
        <v>1</v>
      </c>
      <c r="R125">
        <v>0</v>
      </c>
      <c r="S125" t="s">
        <v>118</v>
      </c>
      <c r="T125" t="s">
        <v>1060</v>
      </c>
      <c r="U125" t="s">
        <v>228</v>
      </c>
      <c r="V125" t="s">
        <v>32</v>
      </c>
      <c r="W125">
        <v>1</v>
      </c>
      <c r="X125" t="s">
        <v>949</v>
      </c>
      <c r="Y125">
        <v>0</v>
      </c>
      <c r="Z125" t="s">
        <v>950</v>
      </c>
      <c r="AB125" t="s">
        <v>638</v>
      </c>
      <c r="AC125" t="s">
        <v>122</v>
      </c>
    </row>
    <row r="126" spans="1:29" x14ac:dyDescent="0.2">
      <c r="A126" t="s">
        <v>537</v>
      </c>
      <c r="B126" t="s">
        <v>278</v>
      </c>
      <c r="C126" t="s">
        <v>538</v>
      </c>
      <c r="D126">
        <v>2020</v>
      </c>
      <c r="E126">
        <f>VLOOKUP(default_1!F63,Hoja1!$AD$1:$AE$176,2,FALSE)</f>
        <v>5</v>
      </c>
      <c r="F126" s="1" t="s">
        <v>539</v>
      </c>
      <c r="G126" t="s">
        <v>540</v>
      </c>
      <c r="H126" t="s">
        <v>26</v>
      </c>
      <c r="I126" t="s">
        <v>1098</v>
      </c>
      <c r="J126">
        <v>107598781</v>
      </c>
      <c r="K126">
        <v>28</v>
      </c>
      <c r="L126" t="s">
        <v>401</v>
      </c>
      <c r="M126" t="s">
        <v>1271</v>
      </c>
      <c r="N126" t="s">
        <v>29</v>
      </c>
      <c r="O126">
        <v>1</v>
      </c>
      <c r="P126">
        <v>1</v>
      </c>
      <c r="R126">
        <v>0</v>
      </c>
      <c r="S126" t="s">
        <v>118</v>
      </c>
      <c r="T126" t="s">
        <v>89</v>
      </c>
      <c r="U126" t="s">
        <v>541</v>
      </c>
      <c r="V126" t="s">
        <v>1593</v>
      </c>
      <c r="W126">
        <v>0</v>
      </c>
      <c r="Y126">
        <v>1</v>
      </c>
      <c r="AA126" t="s">
        <v>543</v>
      </c>
      <c r="AC126" t="s">
        <v>122</v>
      </c>
    </row>
    <row r="127" spans="1:29" x14ac:dyDescent="0.2">
      <c r="A127" t="s">
        <v>513</v>
      </c>
      <c r="B127" t="s">
        <v>37</v>
      </c>
      <c r="C127" t="s">
        <v>207</v>
      </c>
      <c r="D127">
        <v>2021</v>
      </c>
      <c r="E127">
        <f>VLOOKUP(default_1!F60,Hoja1!$AD$1:$AE$176,2,FALSE)</f>
        <v>38</v>
      </c>
      <c r="F127" s="1" t="s">
        <v>514</v>
      </c>
      <c r="G127" t="s">
        <v>515</v>
      </c>
      <c r="H127" t="s">
        <v>147</v>
      </c>
      <c r="J127">
        <v>11000000</v>
      </c>
      <c r="K127">
        <v>123</v>
      </c>
      <c r="L127" t="s">
        <v>41</v>
      </c>
      <c r="M127" t="s">
        <v>516</v>
      </c>
      <c r="N127" t="s">
        <v>158</v>
      </c>
      <c r="O127">
        <v>1</v>
      </c>
      <c r="P127">
        <v>1</v>
      </c>
      <c r="R127">
        <v>0</v>
      </c>
      <c r="S127" t="s">
        <v>118</v>
      </c>
      <c r="T127" t="s">
        <v>1058</v>
      </c>
      <c r="U127" t="s">
        <v>204</v>
      </c>
      <c r="V127" t="s">
        <v>32</v>
      </c>
      <c r="W127">
        <v>0</v>
      </c>
      <c r="Y127">
        <v>0</v>
      </c>
      <c r="Z127" t="s">
        <v>517</v>
      </c>
      <c r="AA127" t="s">
        <v>518</v>
      </c>
      <c r="AC127" t="s">
        <v>122</v>
      </c>
    </row>
    <row r="128" spans="1:29" x14ac:dyDescent="0.2">
      <c r="A128" t="s">
        <v>680</v>
      </c>
      <c r="B128" t="s">
        <v>35</v>
      </c>
      <c r="C128" t="s">
        <v>49</v>
      </c>
      <c r="D128">
        <v>2020</v>
      </c>
      <c r="E128">
        <f>VLOOKUP(default_1!F83,Hoja1!$AD$1:$AE$176,2,FALSE)</f>
        <v>158</v>
      </c>
      <c r="F128" s="1" t="s">
        <v>681</v>
      </c>
      <c r="G128" t="s">
        <v>682</v>
      </c>
      <c r="H128" t="s">
        <v>105</v>
      </c>
      <c r="J128">
        <v>43000000</v>
      </c>
      <c r="K128">
        <v>30</v>
      </c>
      <c r="L128" t="s">
        <v>210</v>
      </c>
      <c r="M128" t="s">
        <v>54</v>
      </c>
      <c r="N128" t="s">
        <v>29</v>
      </c>
      <c r="O128">
        <v>1</v>
      </c>
      <c r="P128">
        <v>1</v>
      </c>
      <c r="R128">
        <v>0</v>
      </c>
      <c r="S128" t="s">
        <v>118</v>
      </c>
      <c r="T128" t="s">
        <v>1060</v>
      </c>
      <c r="U128" t="s">
        <v>204</v>
      </c>
      <c r="V128" t="s">
        <v>32</v>
      </c>
      <c r="W128">
        <v>0</v>
      </c>
      <c r="Y128">
        <v>0</v>
      </c>
      <c r="AA128" t="s">
        <v>683</v>
      </c>
      <c r="AC128" t="s">
        <v>122</v>
      </c>
    </row>
    <row r="129" spans="1:29" x14ac:dyDescent="0.2">
      <c r="A129" t="s">
        <v>1032</v>
      </c>
      <c r="B129" t="s">
        <v>170</v>
      </c>
      <c r="C129" t="s">
        <v>144</v>
      </c>
      <c r="D129">
        <v>2013</v>
      </c>
      <c r="E129">
        <f>VLOOKUP(default_1!F58,Hoja1!$AD$1:$AE$176,2,FALSE)</f>
        <v>23</v>
      </c>
      <c r="F129" s="1" t="s">
        <v>1033</v>
      </c>
      <c r="G129" t="s">
        <v>1034</v>
      </c>
      <c r="H129" t="s">
        <v>400</v>
      </c>
      <c r="J129">
        <v>1600000</v>
      </c>
      <c r="K129">
        <v>52</v>
      </c>
      <c r="L129" t="s">
        <v>1035</v>
      </c>
      <c r="M129" t="s">
        <v>1271</v>
      </c>
      <c r="N129" t="s">
        <v>29</v>
      </c>
      <c r="O129">
        <v>1</v>
      </c>
      <c r="P129">
        <v>1</v>
      </c>
      <c r="R129">
        <v>0</v>
      </c>
      <c r="S129" t="s">
        <v>56</v>
      </c>
      <c r="T129" t="s">
        <v>1067</v>
      </c>
      <c r="U129" t="s">
        <v>1036</v>
      </c>
      <c r="V129" t="s">
        <v>1573</v>
      </c>
      <c r="W129">
        <v>0</v>
      </c>
      <c r="Y129">
        <v>0</v>
      </c>
      <c r="AC129" t="s">
        <v>35</v>
      </c>
    </row>
    <row r="130" spans="1:29" x14ac:dyDescent="0.2">
      <c r="A130" t="s">
        <v>297</v>
      </c>
      <c r="B130" t="s">
        <v>170</v>
      </c>
      <c r="C130" t="s">
        <v>207</v>
      </c>
      <c r="D130">
        <v>2022</v>
      </c>
      <c r="E130">
        <f>VLOOKUP(default_1!F30,Hoja1!$AD$1:$AE$176,2,FALSE)</f>
        <v>36</v>
      </c>
      <c r="F130" s="1" t="s">
        <v>298</v>
      </c>
      <c r="G130" t="s">
        <v>299</v>
      </c>
      <c r="H130" t="s">
        <v>26</v>
      </c>
      <c r="I130" t="s">
        <v>1093</v>
      </c>
      <c r="J130">
        <v>102000000</v>
      </c>
      <c r="K130">
        <v>31</v>
      </c>
      <c r="L130" t="s">
        <v>41</v>
      </c>
      <c r="M130" t="s">
        <v>1132</v>
      </c>
      <c r="N130" t="s">
        <v>67</v>
      </c>
      <c r="O130">
        <v>1</v>
      </c>
      <c r="P130">
        <v>1</v>
      </c>
      <c r="R130">
        <v>0</v>
      </c>
      <c r="S130" t="s">
        <v>283</v>
      </c>
      <c r="T130" t="s">
        <v>1066</v>
      </c>
      <c r="U130" t="s">
        <v>301</v>
      </c>
      <c r="V130" t="s">
        <v>302</v>
      </c>
      <c r="W130">
        <v>0</v>
      </c>
      <c r="Y130">
        <v>1</v>
      </c>
      <c r="Z130" t="s">
        <v>303</v>
      </c>
      <c r="AA130" t="s">
        <v>304</v>
      </c>
      <c r="AC130" t="s">
        <v>35</v>
      </c>
    </row>
    <row r="131" spans="1:29" x14ac:dyDescent="0.2">
      <c r="A131" t="s">
        <v>435</v>
      </c>
      <c r="B131" t="s">
        <v>415</v>
      </c>
      <c r="C131" t="s">
        <v>144</v>
      </c>
      <c r="D131">
        <v>2021</v>
      </c>
      <c r="E131">
        <f>VLOOKUP(default_1!F49,Hoja1!$AD$1:$AE$176,2,FALSE)</f>
        <v>35</v>
      </c>
      <c r="F131" s="1" t="s">
        <v>436</v>
      </c>
      <c r="G131" t="s">
        <v>437</v>
      </c>
      <c r="H131" t="s">
        <v>147</v>
      </c>
      <c r="J131">
        <v>2100000000</v>
      </c>
      <c r="K131">
        <v>7</v>
      </c>
      <c r="M131" t="s">
        <v>127</v>
      </c>
      <c r="N131" t="s">
        <v>158</v>
      </c>
      <c r="O131">
        <v>0</v>
      </c>
      <c r="P131">
        <v>1</v>
      </c>
      <c r="Q131" t="s">
        <v>438</v>
      </c>
      <c r="R131">
        <v>0</v>
      </c>
      <c r="S131" t="s">
        <v>30</v>
      </c>
      <c r="T131" t="s">
        <v>1058</v>
      </c>
      <c r="U131" t="s">
        <v>204</v>
      </c>
      <c r="V131" t="s">
        <v>32</v>
      </c>
      <c r="W131">
        <v>0</v>
      </c>
      <c r="Y131">
        <v>1</v>
      </c>
      <c r="AA131" t="s">
        <v>439</v>
      </c>
      <c r="AB131" t="s">
        <v>440</v>
      </c>
      <c r="AC131" t="s">
        <v>35</v>
      </c>
    </row>
    <row r="132" spans="1:29" x14ac:dyDescent="0.2">
      <c r="A132" t="s">
        <v>1045</v>
      </c>
      <c r="B132" t="s">
        <v>170</v>
      </c>
      <c r="C132" t="s">
        <v>463</v>
      </c>
      <c r="D132">
        <v>2021</v>
      </c>
      <c r="E132">
        <f>VLOOKUP(default_1!F142,Hoja1!$AD$1:$AE$176,2,FALSE)</f>
        <v>23</v>
      </c>
      <c r="F132" s="1" t="s">
        <v>1560</v>
      </c>
      <c r="G132" t="s">
        <v>1046</v>
      </c>
      <c r="H132" t="s">
        <v>26</v>
      </c>
      <c r="I132" t="s">
        <v>1108</v>
      </c>
      <c r="J132">
        <v>171770000</v>
      </c>
      <c r="K132">
        <v>91</v>
      </c>
      <c r="L132" t="s">
        <v>53</v>
      </c>
      <c r="M132" t="s">
        <v>1047</v>
      </c>
      <c r="N132" t="s">
        <v>29</v>
      </c>
      <c r="O132">
        <v>1</v>
      </c>
      <c r="P132">
        <v>1</v>
      </c>
      <c r="R132">
        <v>0</v>
      </c>
      <c r="S132" t="s">
        <v>118</v>
      </c>
      <c r="T132" t="s">
        <v>1058</v>
      </c>
      <c r="U132" t="s">
        <v>1048</v>
      </c>
      <c r="V132" t="s">
        <v>193</v>
      </c>
      <c r="W132">
        <v>0</v>
      </c>
      <c r="Y132">
        <v>0</v>
      </c>
      <c r="AA132" t="s">
        <v>1049</v>
      </c>
      <c r="AC132" t="s">
        <v>122</v>
      </c>
    </row>
    <row r="133" spans="1:29" x14ac:dyDescent="0.2">
      <c r="A133" t="s">
        <v>871</v>
      </c>
      <c r="B133" t="s">
        <v>872</v>
      </c>
      <c r="C133" t="s">
        <v>38</v>
      </c>
      <c r="D133">
        <v>2018</v>
      </c>
      <c r="E133">
        <f>VLOOKUP(default_1!F46,Hoja1!$AD$1:$AE$176,2,FALSE)</f>
        <v>4</v>
      </c>
      <c r="F133" s="1" t="s">
        <v>873</v>
      </c>
      <c r="G133" t="s">
        <v>874</v>
      </c>
      <c r="H133" t="s">
        <v>26</v>
      </c>
      <c r="I133" t="s">
        <v>1085</v>
      </c>
      <c r="J133">
        <v>6000000000</v>
      </c>
      <c r="K133">
        <v>91</v>
      </c>
      <c r="L133" t="s">
        <v>875</v>
      </c>
      <c r="M133" t="s">
        <v>127</v>
      </c>
      <c r="N133" t="s">
        <v>29</v>
      </c>
      <c r="O133">
        <v>0</v>
      </c>
      <c r="P133">
        <v>0</v>
      </c>
      <c r="Q133" t="s">
        <v>876</v>
      </c>
      <c r="R133">
        <v>0</v>
      </c>
      <c r="S133" t="s">
        <v>69</v>
      </c>
      <c r="T133" t="s">
        <v>1072</v>
      </c>
      <c r="U133" t="s">
        <v>877</v>
      </c>
      <c r="V133" t="s">
        <v>1578</v>
      </c>
      <c r="W133">
        <v>0</v>
      </c>
      <c r="Y133">
        <v>1</v>
      </c>
      <c r="AA133" t="s">
        <v>350</v>
      </c>
      <c r="AC133" t="s">
        <v>89</v>
      </c>
    </row>
    <row r="134" spans="1:29" x14ac:dyDescent="0.2">
      <c r="A134" t="s">
        <v>599</v>
      </c>
      <c r="B134" t="s">
        <v>600</v>
      </c>
      <c r="C134" t="s">
        <v>250</v>
      </c>
      <c r="D134">
        <v>2020</v>
      </c>
      <c r="E134">
        <f>VLOOKUP(default_1!F72,Hoja1!$AD$1:$AE$176,2,FALSE)</f>
        <v>15</v>
      </c>
      <c r="F134" s="1" t="s">
        <v>601</v>
      </c>
      <c r="G134" t="s">
        <v>602</v>
      </c>
      <c r="H134" t="s">
        <v>147</v>
      </c>
      <c r="J134">
        <v>1459692</v>
      </c>
      <c r="K134">
        <v>334</v>
      </c>
      <c r="L134" t="s">
        <v>95</v>
      </c>
      <c r="M134" t="s">
        <v>603</v>
      </c>
      <c r="N134" t="s">
        <v>29</v>
      </c>
      <c r="O134">
        <v>1</v>
      </c>
      <c r="P134">
        <v>1</v>
      </c>
      <c r="R134">
        <v>0</v>
      </c>
      <c r="S134" t="s">
        <v>30</v>
      </c>
      <c r="T134" t="s">
        <v>1060</v>
      </c>
      <c r="U134" t="s">
        <v>1559</v>
      </c>
      <c r="V134" t="s">
        <v>314</v>
      </c>
      <c r="W134">
        <v>0</v>
      </c>
      <c r="Y134">
        <v>0</v>
      </c>
      <c r="Z134" t="s">
        <v>604</v>
      </c>
      <c r="AA134" t="s">
        <v>605</v>
      </c>
      <c r="AC134" t="s">
        <v>35</v>
      </c>
    </row>
    <row r="135" spans="1:29" x14ac:dyDescent="0.2">
      <c r="A135" t="s">
        <v>969</v>
      </c>
      <c r="B135" t="s">
        <v>631</v>
      </c>
      <c r="C135" t="s">
        <v>38</v>
      </c>
      <c r="D135">
        <v>2016</v>
      </c>
      <c r="E135">
        <f>VLOOKUP(default_1!F129,Hoja1!$AD$1:$AE$176,2,FALSE)</f>
        <v>43</v>
      </c>
      <c r="F135" s="1" t="s">
        <v>970</v>
      </c>
      <c r="G135" t="s">
        <v>971</v>
      </c>
      <c r="H135" t="s">
        <v>105</v>
      </c>
      <c r="J135">
        <v>1994714</v>
      </c>
      <c r="K135">
        <v>7</v>
      </c>
      <c r="L135" t="s">
        <v>972</v>
      </c>
      <c r="M135" t="s">
        <v>183</v>
      </c>
      <c r="N135" t="s">
        <v>29</v>
      </c>
      <c r="O135">
        <v>1</v>
      </c>
      <c r="P135">
        <v>1</v>
      </c>
      <c r="R135">
        <v>0</v>
      </c>
      <c r="S135" t="s">
        <v>56</v>
      </c>
      <c r="T135" t="s">
        <v>1079</v>
      </c>
      <c r="U135" t="s">
        <v>284</v>
      </c>
      <c r="V135" t="s">
        <v>58</v>
      </c>
      <c r="W135">
        <v>0</v>
      </c>
      <c r="Y135">
        <v>0</v>
      </c>
      <c r="Z135" t="s">
        <v>973</v>
      </c>
      <c r="AA135" t="s">
        <v>168</v>
      </c>
      <c r="AC135" t="s">
        <v>35</v>
      </c>
    </row>
    <row r="136" spans="1:29" x14ac:dyDescent="0.2">
      <c r="A136" t="s">
        <v>890</v>
      </c>
      <c r="B136" t="s">
        <v>498</v>
      </c>
      <c r="D136">
        <v>2018</v>
      </c>
      <c r="E136">
        <f>VLOOKUP(default_1!F116,Hoja1!$AD$1:$AE$176,2,FALSE)</f>
        <v>164</v>
      </c>
      <c r="F136" s="1" t="s">
        <v>891</v>
      </c>
      <c r="G136" t="s">
        <v>892</v>
      </c>
      <c r="H136" t="s">
        <v>105</v>
      </c>
      <c r="J136">
        <v>400000000</v>
      </c>
      <c r="K136">
        <v>30</v>
      </c>
      <c r="L136" t="s">
        <v>210</v>
      </c>
      <c r="M136" t="s">
        <v>634</v>
      </c>
      <c r="N136" t="s">
        <v>29</v>
      </c>
      <c r="O136">
        <v>0</v>
      </c>
      <c r="P136">
        <v>1</v>
      </c>
      <c r="Q136" t="s">
        <v>893</v>
      </c>
      <c r="R136">
        <v>0</v>
      </c>
      <c r="S136" t="s">
        <v>118</v>
      </c>
      <c r="T136" t="s">
        <v>1060</v>
      </c>
      <c r="U136" t="s">
        <v>204</v>
      </c>
      <c r="V136" t="s">
        <v>32</v>
      </c>
      <c r="W136">
        <v>0</v>
      </c>
      <c r="Y136">
        <v>0</v>
      </c>
      <c r="AC136" t="s">
        <v>35</v>
      </c>
    </row>
    <row r="137" spans="1:29" x14ac:dyDescent="0.2">
      <c r="A137" t="s">
        <v>197</v>
      </c>
      <c r="B137" t="s">
        <v>198</v>
      </c>
      <c r="C137" t="s">
        <v>199</v>
      </c>
      <c r="D137">
        <v>2022</v>
      </c>
      <c r="E137">
        <f>VLOOKUP(default_1!F19,Hoja1!$AD$1:$AE$176,2,FALSE)</f>
        <v>12</v>
      </c>
      <c r="F137" s="1" t="s">
        <v>200</v>
      </c>
      <c r="G137" t="s">
        <v>201</v>
      </c>
      <c r="H137" t="s">
        <v>26</v>
      </c>
      <c r="I137" t="s">
        <v>1090</v>
      </c>
      <c r="J137">
        <v>400000000</v>
      </c>
      <c r="K137">
        <v>335</v>
      </c>
      <c r="L137" t="s">
        <v>27</v>
      </c>
      <c r="M137" t="s">
        <v>202</v>
      </c>
      <c r="N137" t="s">
        <v>67</v>
      </c>
      <c r="O137">
        <v>0</v>
      </c>
      <c r="P137">
        <v>1</v>
      </c>
      <c r="Q137" t="s">
        <v>203</v>
      </c>
      <c r="R137">
        <v>0</v>
      </c>
      <c r="S137" t="s">
        <v>30</v>
      </c>
      <c r="T137" t="s">
        <v>1060</v>
      </c>
      <c r="U137" t="s">
        <v>204</v>
      </c>
      <c r="V137" t="s">
        <v>32</v>
      </c>
      <c r="W137">
        <v>0</v>
      </c>
      <c r="Y137">
        <v>0</v>
      </c>
      <c r="AA137" t="s">
        <v>34</v>
      </c>
      <c r="AC137" t="s">
        <v>583</v>
      </c>
    </row>
    <row r="138" spans="1:29" x14ac:dyDescent="0.2">
      <c r="A138" t="s">
        <v>758</v>
      </c>
      <c r="B138" t="s">
        <v>759</v>
      </c>
      <c r="C138" t="s">
        <v>760</v>
      </c>
      <c r="D138">
        <v>2019</v>
      </c>
      <c r="E138">
        <f>VLOOKUP(default_1!F95,Hoja1!$AD$1:$AE$176,2,FALSE)</f>
        <v>13</v>
      </c>
      <c r="F138" s="1" t="s">
        <v>761</v>
      </c>
      <c r="G138" t="s">
        <v>762</v>
      </c>
      <c r="H138" t="s">
        <v>26</v>
      </c>
      <c r="I138" t="s">
        <v>1102</v>
      </c>
      <c r="J138">
        <v>14517530</v>
      </c>
      <c r="K138">
        <v>31</v>
      </c>
      <c r="L138" t="s">
        <v>95</v>
      </c>
      <c r="M138" t="s">
        <v>752</v>
      </c>
      <c r="N138" t="s">
        <v>29</v>
      </c>
      <c r="O138">
        <v>1</v>
      </c>
      <c r="P138">
        <v>1</v>
      </c>
      <c r="R138">
        <v>0</v>
      </c>
      <c r="S138" t="s">
        <v>118</v>
      </c>
      <c r="T138" t="s">
        <v>26</v>
      </c>
      <c r="U138" t="s">
        <v>79</v>
      </c>
      <c r="V138" t="s">
        <v>79</v>
      </c>
      <c r="W138">
        <v>0</v>
      </c>
      <c r="Y138">
        <v>0</v>
      </c>
      <c r="Z138" t="s">
        <v>763</v>
      </c>
      <c r="AB138" t="s">
        <v>1081</v>
      </c>
      <c r="AC138" t="s">
        <v>35</v>
      </c>
    </row>
    <row r="139" spans="1:29" x14ac:dyDescent="0.2">
      <c r="A139" t="s">
        <v>504</v>
      </c>
      <c r="B139" t="s">
        <v>505</v>
      </c>
      <c r="D139">
        <v>2021</v>
      </c>
      <c r="E139">
        <f>VLOOKUP(default_1!F59,Hoja1!$AD$1:$AE$176,2,FALSE)</f>
        <v>134</v>
      </c>
      <c r="F139" s="1" t="s">
        <v>506</v>
      </c>
      <c r="G139" t="s">
        <v>507</v>
      </c>
      <c r="H139" t="s">
        <v>400</v>
      </c>
      <c r="J139">
        <v>67069</v>
      </c>
      <c r="K139">
        <v>119</v>
      </c>
      <c r="L139" t="s">
        <v>27</v>
      </c>
      <c r="M139" t="s">
        <v>508</v>
      </c>
      <c r="N139" t="s">
        <v>29</v>
      </c>
      <c r="O139">
        <v>1</v>
      </c>
      <c r="P139">
        <v>1</v>
      </c>
      <c r="R139">
        <v>0</v>
      </c>
      <c r="S139" t="s">
        <v>56</v>
      </c>
      <c r="T139" t="s">
        <v>1075</v>
      </c>
      <c r="U139" t="s">
        <v>509</v>
      </c>
      <c r="V139" t="s">
        <v>1573</v>
      </c>
      <c r="W139">
        <v>0</v>
      </c>
      <c r="Y139">
        <v>0</v>
      </c>
      <c r="Z139" t="s">
        <v>511</v>
      </c>
      <c r="AA139" t="s">
        <v>512</v>
      </c>
      <c r="AC139" t="s">
        <v>35</v>
      </c>
    </row>
    <row r="140" spans="1:29" x14ac:dyDescent="0.2">
      <c r="A140" t="s">
        <v>808</v>
      </c>
      <c r="B140" t="s">
        <v>170</v>
      </c>
      <c r="C140" t="s">
        <v>207</v>
      </c>
      <c r="D140">
        <v>2019</v>
      </c>
      <c r="E140">
        <f>VLOOKUP(default_1!F103,Hoja1!$AD$1:$AE$176,2,FALSE)</f>
        <v>8</v>
      </c>
      <c r="F140" s="1" t="s">
        <v>809</v>
      </c>
      <c r="G140" t="s">
        <v>810</v>
      </c>
      <c r="H140" t="s">
        <v>26</v>
      </c>
      <c r="I140" t="s">
        <v>1092</v>
      </c>
      <c r="J140">
        <v>6000000</v>
      </c>
      <c r="K140">
        <v>20</v>
      </c>
      <c r="L140" t="s">
        <v>210</v>
      </c>
      <c r="M140" t="s">
        <v>282</v>
      </c>
      <c r="N140" t="s">
        <v>29</v>
      </c>
      <c r="O140">
        <v>1</v>
      </c>
      <c r="P140">
        <v>1</v>
      </c>
      <c r="R140">
        <v>0</v>
      </c>
      <c r="S140" t="s">
        <v>30</v>
      </c>
      <c r="T140" t="s">
        <v>1060</v>
      </c>
      <c r="U140" t="s">
        <v>811</v>
      </c>
      <c r="V140" t="s">
        <v>373</v>
      </c>
      <c r="W140">
        <v>0</v>
      </c>
      <c r="Y140">
        <v>1</v>
      </c>
      <c r="Z140" t="s">
        <v>812</v>
      </c>
      <c r="AC140" t="s">
        <v>35</v>
      </c>
    </row>
    <row r="141" spans="1:29" x14ac:dyDescent="0.2">
      <c r="A141" t="s">
        <v>310</v>
      </c>
      <c r="B141" t="s">
        <v>74</v>
      </c>
      <c r="C141" t="s">
        <v>75</v>
      </c>
      <c r="D141">
        <v>2021</v>
      </c>
      <c r="E141">
        <f>VLOOKUP(default_1!F32,Hoja1!$AD$1:$AE$176,2,FALSE)</f>
        <v>71</v>
      </c>
      <c r="F141" s="1" t="s">
        <v>311</v>
      </c>
      <c r="G141" t="s">
        <v>312</v>
      </c>
      <c r="H141" t="s">
        <v>26</v>
      </c>
      <c r="I141" t="s">
        <v>1087</v>
      </c>
      <c r="K141">
        <v>60</v>
      </c>
      <c r="L141" t="s">
        <v>190</v>
      </c>
      <c r="M141" t="s">
        <v>202</v>
      </c>
      <c r="N141" t="s">
        <v>158</v>
      </c>
      <c r="O141">
        <v>0</v>
      </c>
      <c r="P141">
        <v>1</v>
      </c>
      <c r="Q141" t="s">
        <v>313</v>
      </c>
      <c r="R141">
        <v>0</v>
      </c>
      <c r="S141" t="s">
        <v>118</v>
      </c>
      <c r="T141" t="s">
        <v>1068</v>
      </c>
      <c r="U141" t="s">
        <v>1486</v>
      </c>
      <c r="V141" t="s">
        <v>314</v>
      </c>
      <c r="W141">
        <v>0</v>
      </c>
      <c r="Y141">
        <v>0</v>
      </c>
      <c r="AA141" t="s">
        <v>34</v>
      </c>
      <c r="AB141" t="s">
        <v>315</v>
      </c>
      <c r="AC141" t="s">
        <v>316</v>
      </c>
    </row>
    <row r="142" spans="1:29" x14ac:dyDescent="0.2">
      <c r="A142" t="s">
        <v>584</v>
      </c>
      <c r="B142" t="s">
        <v>585</v>
      </c>
      <c r="C142" t="s">
        <v>144</v>
      </c>
      <c r="D142">
        <v>2020</v>
      </c>
      <c r="E142">
        <f>VLOOKUP(default_1!F70,Hoja1!$AD$1:$AE$176,2,FALSE)</f>
        <v>6</v>
      </c>
      <c r="F142" s="1" t="s">
        <v>586</v>
      </c>
      <c r="G142" t="s">
        <v>587</v>
      </c>
      <c r="H142" t="s">
        <v>26</v>
      </c>
      <c r="I142" t="s">
        <v>1087</v>
      </c>
      <c r="J142">
        <v>860000</v>
      </c>
      <c r="K142">
        <v>31</v>
      </c>
      <c r="L142" t="s">
        <v>401</v>
      </c>
      <c r="M142" t="s">
        <v>1271</v>
      </c>
      <c r="N142" t="s">
        <v>67</v>
      </c>
      <c r="O142">
        <v>0</v>
      </c>
      <c r="P142">
        <v>1</v>
      </c>
      <c r="Q142" t="s">
        <v>588</v>
      </c>
      <c r="R142">
        <v>0</v>
      </c>
      <c r="S142" t="s">
        <v>118</v>
      </c>
      <c r="T142" t="s">
        <v>1058</v>
      </c>
      <c r="U142" t="s">
        <v>1494</v>
      </c>
      <c r="V142" t="s">
        <v>589</v>
      </c>
      <c r="W142">
        <v>0</v>
      </c>
      <c r="Y142">
        <v>1</v>
      </c>
      <c r="AA142" t="s">
        <v>590</v>
      </c>
      <c r="AB142" t="s">
        <v>238</v>
      </c>
      <c r="AC142" t="s">
        <v>122</v>
      </c>
    </row>
    <row r="143" spans="1:29" x14ac:dyDescent="0.2">
      <c r="A143" t="s">
        <v>1050</v>
      </c>
      <c r="B143" t="s">
        <v>22</v>
      </c>
      <c r="C143" t="s">
        <v>1051</v>
      </c>
      <c r="D143">
        <v>2022</v>
      </c>
      <c r="E143">
        <f>VLOOKUP(default_1!F143,Hoja1!$AD$1:$AE$176,2,FALSE)</f>
        <v>9</v>
      </c>
      <c r="F143" s="1" t="s">
        <v>1052</v>
      </c>
      <c r="G143" t="s">
        <v>1053</v>
      </c>
      <c r="H143" t="s">
        <v>26</v>
      </c>
      <c r="I143" t="s">
        <v>1087</v>
      </c>
      <c r="J143">
        <v>2026230715</v>
      </c>
      <c r="K143">
        <v>30</v>
      </c>
      <c r="L143" t="s">
        <v>53</v>
      </c>
      <c r="M143" t="s">
        <v>127</v>
      </c>
      <c r="N143" t="s">
        <v>67</v>
      </c>
      <c r="O143">
        <v>1</v>
      </c>
      <c r="P143">
        <v>1</v>
      </c>
      <c r="R143">
        <v>0</v>
      </c>
      <c r="S143" t="s">
        <v>118</v>
      </c>
      <c r="T143" t="s">
        <v>26</v>
      </c>
      <c r="U143" t="s">
        <v>1054</v>
      </c>
      <c r="V143" t="s">
        <v>1578</v>
      </c>
      <c r="W143">
        <v>1</v>
      </c>
      <c r="X143" t="s">
        <v>1055</v>
      </c>
      <c r="Y143">
        <v>1</v>
      </c>
      <c r="AA143" t="s">
        <v>1056</v>
      </c>
      <c r="AC143" t="s">
        <v>35</v>
      </c>
    </row>
    <row r="144" spans="1:29" x14ac:dyDescent="0.2">
      <c r="A144" t="s">
        <v>1274</v>
      </c>
      <c r="B144" t="s">
        <v>1275</v>
      </c>
      <c r="D144">
        <v>2018</v>
      </c>
      <c r="E144">
        <f>VLOOKUP(default_1!F171,Hoja1!$AD$1:$AE$176,2,FALSE)</f>
        <v>2</v>
      </c>
      <c r="F144" s="1" t="s">
        <v>1276</v>
      </c>
      <c r="G144" t="s">
        <v>1568</v>
      </c>
      <c r="H144" t="s">
        <v>105</v>
      </c>
      <c r="J144">
        <v>25.25</v>
      </c>
      <c r="K144">
        <v>5</v>
      </c>
      <c r="L144" t="s">
        <v>95</v>
      </c>
      <c r="M144" t="s">
        <v>28</v>
      </c>
      <c r="N144" t="s">
        <v>29</v>
      </c>
      <c r="O144">
        <v>0</v>
      </c>
      <c r="P144">
        <v>1</v>
      </c>
      <c r="Q144" t="s">
        <v>85</v>
      </c>
      <c r="R144">
        <v>0</v>
      </c>
      <c r="S144" t="s">
        <v>335</v>
      </c>
      <c r="T144" t="s">
        <v>1076</v>
      </c>
      <c r="U144" t="s">
        <v>1277</v>
      </c>
      <c r="V144" t="s">
        <v>1278</v>
      </c>
      <c r="Y144">
        <v>1</v>
      </c>
      <c r="AA144" t="s">
        <v>1279</v>
      </c>
      <c r="AC144" t="s">
        <v>35</v>
      </c>
    </row>
    <row r="145" spans="1:29" x14ac:dyDescent="0.2">
      <c r="A145" t="s">
        <v>1294</v>
      </c>
      <c r="B145" t="s">
        <v>170</v>
      </c>
      <c r="C145" t="s">
        <v>144</v>
      </c>
      <c r="D145">
        <v>2015</v>
      </c>
      <c r="E145">
        <f>VLOOKUP(default_1!F174,Hoja1!$AD$1:$AE$176,2,FALSE)</f>
        <v>0</v>
      </c>
      <c r="F145" s="1" t="s">
        <v>1295</v>
      </c>
      <c r="G145" t="s">
        <v>1296</v>
      </c>
      <c r="H145" t="s">
        <v>52</v>
      </c>
      <c r="J145">
        <v>101079</v>
      </c>
      <c r="K145">
        <v>61</v>
      </c>
      <c r="L145" t="s">
        <v>866</v>
      </c>
      <c r="M145" t="s">
        <v>54</v>
      </c>
      <c r="N145" t="s">
        <v>29</v>
      </c>
      <c r="O145">
        <v>1</v>
      </c>
      <c r="P145">
        <v>1</v>
      </c>
      <c r="R145">
        <v>0</v>
      </c>
      <c r="S145" t="s">
        <v>30</v>
      </c>
      <c r="T145" t="s">
        <v>1058</v>
      </c>
      <c r="U145" t="s">
        <v>1297</v>
      </c>
      <c r="V145" t="s">
        <v>481</v>
      </c>
      <c r="Y145">
        <v>0</v>
      </c>
      <c r="AA145" t="s">
        <v>1298</v>
      </c>
      <c r="AB145" t="s">
        <v>141</v>
      </c>
      <c r="AC145" t="s">
        <v>122</v>
      </c>
    </row>
    <row r="146" spans="1:29" x14ac:dyDescent="0.2">
      <c r="A146" t="s">
        <v>1280</v>
      </c>
      <c r="B146" t="s">
        <v>1281</v>
      </c>
      <c r="C146" t="s">
        <v>75</v>
      </c>
      <c r="D146">
        <v>2017</v>
      </c>
      <c r="E146">
        <f>VLOOKUP(default_1!F172,Hoja1!$AD$1:$AE$176,2,FALSE)</f>
        <v>2</v>
      </c>
      <c r="F146" s="1" t="s">
        <v>1282</v>
      </c>
      <c r="G146" t="s">
        <v>1283</v>
      </c>
      <c r="H146" t="s">
        <v>52</v>
      </c>
      <c r="J146">
        <v>688310</v>
      </c>
      <c r="K146">
        <v>25</v>
      </c>
      <c r="L146" t="s">
        <v>210</v>
      </c>
      <c r="M146" t="s">
        <v>1284</v>
      </c>
      <c r="N146" t="s">
        <v>29</v>
      </c>
      <c r="O146">
        <v>0</v>
      </c>
      <c r="P146">
        <v>0</v>
      </c>
      <c r="Q146" t="s">
        <v>43</v>
      </c>
      <c r="R146">
        <v>0</v>
      </c>
      <c r="S146" t="s">
        <v>118</v>
      </c>
      <c r="T146" t="s">
        <v>1078</v>
      </c>
      <c r="U146" t="s">
        <v>1552</v>
      </c>
      <c r="V146" t="s">
        <v>1594</v>
      </c>
      <c r="Y146">
        <v>0</v>
      </c>
      <c r="AA146" t="s">
        <v>1286</v>
      </c>
      <c r="AC146" t="s">
        <v>35</v>
      </c>
    </row>
    <row r="147" spans="1:29" x14ac:dyDescent="0.2">
      <c r="A147" t="s">
        <v>1267</v>
      </c>
      <c r="B147" t="s">
        <v>170</v>
      </c>
      <c r="C147" t="s">
        <v>38</v>
      </c>
      <c r="D147">
        <v>2018</v>
      </c>
      <c r="E147">
        <f>VLOOKUP(default_1!F170,Hoja1!$AD$1:$AE$176,2,FALSE)</f>
        <v>3</v>
      </c>
      <c r="F147" s="1" t="s">
        <v>1268</v>
      </c>
      <c r="G147" t="s">
        <v>1269</v>
      </c>
      <c r="H147" t="s">
        <v>105</v>
      </c>
      <c r="J147">
        <v>3832491</v>
      </c>
      <c r="K147">
        <v>731</v>
      </c>
      <c r="L147" t="s">
        <v>1270</v>
      </c>
      <c r="M147" t="s">
        <v>1271</v>
      </c>
      <c r="N147" t="s">
        <v>29</v>
      </c>
      <c r="O147">
        <v>1</v>
      </c>
      <c r="P147">
        <v>1</v>
      </c>
      <c r="R147">
        <v>0</v>
      </c>
      <c r="S147" t="s">
        <v>118</v>
      </c>
      <c r="T147" t="s">
        <v>1061</v>
      </c>
      <c r="U147" t="s">
        <v>1272</v>
      </c>
      <c r="V147" t="s">
        <v>1591</v>
      </c>
      <c r="Y147">
        <v>0</v>
      </c>
      <c r="AA147" t="s">
        <v>1273</v>
      </c>
      <c r="AC147" t="s">
        <v>35</v>
      </c>
    </row>
    <row r="148" spans="1:29" x14ac:dyDescent="0.2">
      <c r="A148" t="s">
        <v>1305</v>
      </c>
      <c r="B148" t="s">
        <v>91</v>
      </c>
      <c r="C148" t="s">
        <v>463</v>
      </c>
      <c r="D148">
        <v>2012</v>
      </c>
      <c r="E148">
        <f>VLOOKUP(default_1!F176,Hoja1!$AD$1:$AE$176,2,FALSE)</f>
        <v>0</v>
      </c>
      <c r="F148" s="1" t="s">
        <v>1306</v>
      </c>
      <c r="G148" t="s">
        <v>1307</v>
      </c>
      <c r="H148" t="s">
        <v>147</v>
      </c>
      <c r="J148">
        <v>62000</v>
      </c>
      <c r="K148">
        <v>1571</v>
      </c>
      <c r="L148" t="s">
        <v>1308</v>
      </c>
      <c r="M148" t="s">
        <v>1309</v>
      </c>
      <c r="N148" t="s">
        <v>158</v>
      </c>
      <c r="O148">
        <v>0</v>
      </c>
      <c r="P148">
        <v>1</v>
      </c>
      <c r="Q148" t="s">
        <v>588</v>
      </c>
      <c r="R148">
        <v>0</v>
      </c>
      <c r="S148" t="s">
        <v>56</v>
      </c>
      <c r="T148" t="s">
        <v>1063</v>
      </c>
      <c r="U148" t="s">
        <v>1534</v>
      </c>
      <c r="V148" t="s">
        <v>58</v>
      </c>
      <c r="Y148">
        <v>0</v>
      </c>
      <c r="AA148" t="s">
        <v>140</v>
      </c>
      <c r="AC148" t="s">
        <v>35</v>
      </c>
    </row>
    <row r="149" spans="1:29" x14ac:dyDescent="0.2">
      <c r="A149" t="s">
        <v>1200</v>
      </c>
      <c r="B149" t="s">
        <v>287</v>
      </c>
      <c r="C149" t="s">
        <v>1201</v>
      </c>
      <c r="D149">
        <v>2022</v>
      </c>
      <c r="E149">
        <f>VLOOKUP(default_1!F158,Hoja1!$AD$1:$AE$176,2,FALSE)</f>
        <v>10</v>
      </c>
      <c r="F149" s="1" t="s">
        <v>1202</v>
      </c>
      <c r="G149" t="s">
        <v>1569</v>
      </c>
      <c r="H149" t="s">
        <v>147</v>
      </c>
      <c r="J149">
        <v>2253840</v>
      </c>
      <c r="K149">
        <v>42</v>
      </c>
      <c r="L149" t="s">
        <v>41</v>
      </c>
      <c r="M149" t="s">
        <v>1203</v>
      </c>
      <c r="N149" t="s">
        <v>29</v>
      </c>
      <c r="O149">
        <v>1</v>
      </c>
      <c r="P149">
        <v>1</v>
      </c>
      <c r="R149">
        <v>0</v>
      </c>
      <c r="S149" t="s">
        <v>44</v>
      </c>
      <c r="T149" t="s">
        <v>393</v>
      </c>
      <c r="U149" t="s">
        <v>1555</v>
      </c>
      <c r="V149" t="s">
        <v>1204</v>
      </c>
      <c r="Y149">
        <v>0</v>
      </c>
      <c r="AA149" t="s">
        <v>1205</v>
      </c>
      <c r="AC149" t="s">
        <v>35</v>
      </c>
    </row>
    <row r="150" spans="1:29" x14ac:dyDescent="0.2">
      <c r="A150" t="s">
        <v>1311</v>
      </c>
      <c r="B150" t="s">
        <v>154</v>
      </c>
      <c r="D150">
        <v>2012</v>
      </c>
      <c r="E150">
        <f>VLOOKUP(default_1!F177,Hoja1!$AD$1:$AE$176,2,FALSE)</f>
        <v>219</v>
      </c>
      <c r="F150" s="1" t="s">
        <v>1312</v>
      </c>
      <c r="G150" t="s">
        <v>1313</v>
      </c>
      <c r="H150" t="s">
        <v>400</v>
      </c>
      <c r="J150">
        <v>1670000</v>
      </c>
      <c r="K150">
        <v>71</v>
      </c>
      <c r="L150" t="s">
        <v>1035</v>
      </c>
      <c r="M150" t="s">
        <v>1271</v>
      </c>
      <c r="N150" t="s">
        <v>29</v>
      </c>
      <c r="O150">
        <v>0</v>
      </c>
      <c r="P150">
        <v>0</v>
      </c>
      <c r="Q150" t="s">
        <v>203</v>
      </c>
      <c r="R150">
        <v>0</v>
      </c>
      <c r="S150" t="s">
        <v>56</v>
      </c>
      <c r="T150" t="s">
        <v>1075</v>
      </c>
      <c r="U150" t="s">
        <v>510</v>
      </c>
      <c r="V150" t="s">
        <v>1573</v>
      </c>
      <c r="Y150">
        <v>0</v>
      </c>
      <c r="AB150" t="s">
        <v>1315</v>
      </c>
      <c r="AC150" t="s">
        <v>35</v>
      </c>
    </row>
    <row r="151" spans="1:29" x14ac:dyDescent="0.2">
      <c r="A151" t="s">
        <v>1255</v>
      </c>
      <c r="B151" t="s">
        <v>37</v>
      </c>
      <c r="C151" t="s">
        <v>207</v>
      </c>
      <c r="D151">
        <v>2019</v>
      </c>
      <c r="E151">
        <f>VLOOKUP(default_1!F168,Hoja1!$AD$1:$AE$176,2,FALSE)</f>
        <v>3</v>
      </c>
      <c r="F151" s="1" t="s">
        <v>1256</v>
      </c>
      <c r="G151" t="s">
        <v>1257</v>
      </c>
      <c r="H151" t="s">
        <v>26</v>
      </c>
      <c r="I151" t="s">
        <v>1221</v>
      </c>
      <c r="J151">
        <v>11528750</v>
      </c>
      <c r="K151">
        <v>180</v>
      </c>
      <c r="L151" t="s">
        <v>822</v>
      </c>
      <c r="M151" t="s">
        <v>485</v>
      </c>
      <c r="N151" t="s">
        <v>29</v>
      </c>
      <c r="O151">
        <v>0</v>
      </c>
      <c r="P151">
        <v>1</v>
      </c>
      <c r="Q151" t="s">
        <v>1258</v>
      </c>
      <c r="R151">
        <v>0</v>
      </c>
      <c r="S151" t="s">
        <v>56</v>
      </c>
      <c r="T151" t="s">
        <v>1070</v>
      </c>
      <c r="U151" t="s">
        <v>1259</v>
      </c>
      <c r="V151" t="s">
        <v>1260</v>
      </c>
      <c r="Y151">
        <v>1</v>
      </c>
      <c r="AB151" t="s">
        <v>141</v>
      </c>
      <c r="AC151" t="s">
        <v>35</v>
      </c>
    </row>
    <row r="152" spans="1:29" x14ac:dyDescent="0.2">
      <c r="A152" t="s">
        <v>1261</v>
      </c>
      <c r="B152" t="s">
        <v>287</v>
      </c>
      <c r="C152" t="s">
        <v>1262</v>
      </c>
      <c r="D152">
        <v>2018</v>
      </c>
      <c r="E152">
        <f>VLOOKUP(default_1!F169,Hoja1!$AD$1:$AE$176,2,FALSE)</f>
        <v>5</v>
      </c>
      <c r="F152" s="1" t="s">
        <v>1263</v>
      </c>
      <c r="G152" t="s">
        <v>1264</v>
      </c>
      <c r="H152" t="s">
        <v>105</v>
      </c>
      <c r="J152">
        <v>262000000</v>
      </c>
      <c r="K152">
        <v>87</v>
      </c>
      <c r="L152" t="s">
        <v>271</v>
      </c>
      <c r="M152" t="s">
        <v>127</v>
      </c>
      <c r="N152" t="s">
        <v>29</v>
      </c>
      <c r="O152">
        <v>1</v>
      </c>
      <c r="P152">
        <v>1</v>
      </c>
      <c r="R152">
        <v>0</v>
      </c>
      <c r="S152" t="s">
        <v>149</v>
      </c>
      <c r="T152" t="s">
        <v>1064</v>
      </c>
      <c r="U152" t="s">
        <v>1487</v>
      </c>
      <c r="V152" t="s">
        <v>1265</v>
      </c>
      <c r="Y152">
        <v>0</v>
      </c>
      <c r="AB152" t="s">
        <v>1266</v>
      </c>
      <c r="AC152" t="s">
        <v>35</v>
      </c>
    </row>
    <row r="153" spans="1:29" x14ac:dyDescent="0.2">
      <c r="A153" t="s">
        <v>1231</v>
      </c>
      <c r="B153" t="s">
        <v>37</v>
      </c>
      <c r="C153" t="s">
        <v>224</v>
      </c>
      <c r="D153">
        <v>2021</v>
      </c>
      <c r="E153">
        <f>VLOOKUP(default_1!F163,Hoja1!$AD$1:$AE$176,2,FALSE)</f>
        <v>5</v>
      </c>
      <c r="F153" s="1" t="s">
        <v>1232</v>
      </c>
      <c r="G153" t="s">
        <v>1233</v>
      </c>
      <c r="H153" t="s">
        <v>147</v>
      </c>
      <c r="J153">
        <v>202562</v>
      </c>
      <c r="K153">
        <v>14</v>
      </c>
      <c r="L153" t="s">
        <v>27</v>
      </c>
      <c r="M153" t="s">
        <v>28</v>
      </c>
      <c r="N153" t="s">
        <v>29</v>
      </c>
      <c r="O153">
        <v>0</v>
      </c>
      <c r="P153">
        <v>0</v>
      </c>
      <c r="Q153" t="s">
        <v>43</v>
      </c>
      <c r="R153">
        <v>0</v>
      </c>
      <c r="S153" t="s">
        <v>56</v>
      </c>
      <c r="T153" t="s">
        <v>1059</v>
      </c>
      <c r="U153" t="s">
        <v>1530</v>
      </c>
      <c r="V153" t="s">
        <v>1583</v>
      </c>
      <c r="Y153">
        <v>1</v>
      </c>
      <c r="AA153" t="s">
        <v>1235</v>
      </c>
      <c r="AC153" t="s">
        <v>35</v>
      </c>
    </row>
    <row r="154" spans="1:29" x14ac:dyDescent="0.2">
      <c r="A154" t="s">
        <v>1218</v>
      </c>
      <c r="B154" t="s">
        <v>37</v>
      </c>
      <c r="C154" t="s">
        <v>207</v>
      </c>
      <c r="D154">
        <v>2022</v>
      </c>
      <c r="E154">
        <f>VLOOKUP(default_1!F161,Hoja1!$AD$1:$AE$176,2,FALSE)</f>
        <v>8</v>
      </c>
      <c r="F154" s="1" t="s">
        <v>1219</v>
      </c>
      <c r="G154" t="s">
        <v>1220</v>
      </c>
      <c r="H154" t="s">
        <v>26</v>
      </c>
      <c r="I154" t="s">
        <v>1221</v>
      </c>
      <c r="J154">
        <v>151682564</v>
      </c>
      <c r="K154">
        <v>366</v>
      </c>
      <c r="L154" t="s">
        <v>1222</v>
      </c>
      <c r="M154" t="s">
        <v>485</v>
      </c>
      <c r="N154" t="s">
        <v>29</v>
      </c>
      <c r="O154">
        <v>0</v>
      </c>
      <c r="P154">
        <v>0</v>
      </c>
      <c r="Q154" t="s">
        <v>687</v>
      </c>
      <c r="R154">
        <v>0</v>
      </c>
      <c r="S154" t="s">
        <v>149</v>
      </c>
      <c r="T154" t="s">
        <v>687</v>
      </c>
      <c r="U154" t="s">
        <v>1223</v>
      </c>
      <c r="V154" t="s">
        <v>1224</v>
      </c>
      <c r="Y154">
        <v>0</v>
      </c>
      <c r="AC154" t="s">
        <v>35</v>
      </c>
    </row>
    <row r="155" spans="1:29" x14ac:dyDescent="0.2">
      <c r="A155" t="s">
        <v>1246</v>
      </c>
      <c r="B155" t="s">
        <v>154</v>
      </c>
      <c r="C155" t="s">
        <v>38</v>
      </c>
      <c r="D155">
        <v>2019</v>
      </c>
      <c r="E155">
        <f>VLOOKUP(default_1!F166,Hoja1!$AD$1:$AE$176,2,FALSE)</f>
        <v>3</v>
      </c>
      <c r="F155" s="1" t="s">
        <v>1247</v>
      </c>
      <c r="G155" t="s">
        <v>1248</v>
      </c>
      <c r="H155" t="s">
        <v>147</v>
      </c>
      <c r="J155">
        <v>28200000</v>
      </c>
      <c r="K155">
        <v>1096</v>
      </c>
      <c r="L155" t="s">
        <v>1249</v>
      </c>
      <c r="M155" t="s">
        <v>918</v>
      </c>
      <c r="N155" t="s">
        <v>158</v>
      </c>
      <c r="O155">
        <v>1</v>
      </c>
      <c r="P155">
        <v>1</v>
      </c>
      <c r="R155">
        <v>0</v>
      </c>
      <c r="S155" t="s">
        <v>118</v>
      </c>
      <c r="T155" t="s">
        <v>1060</v>
      </c>
      <c r="U155" t="s">
        <v>204</v>
      </c>
      <c r="V155" t="s">
        <v>32</v>
      </c>
      <c r="Y155">
        <v>1</v>
      </c>
      <c r="AA155" t="s">
        <v>1250</v>
      </c>
      <c r="AB155" t="s">
        <v>405</v>
      </c>
      <c r="AC155" t="s">
        <v>35</v>
      </c>
    </row>
    <row r="156" spans="1:29" x14ac:dyDescent="0.2">
      <c r="A156" t="s">
        <v>1251</v>
      </c>
      <c r="B156" t="s">
        <v>37</v>
      </c>
      <c r="C156" t="s">
        <v>38</v>
      </c>
      <c r="D156">
        <v>2019</v>
      </c>
      <c r="E156">
        <f>VLOOKUP(default_1!F167,Hoja1!$AD$1:$AE$176,2,FALSE)</f>
        <v>3</v>
      </c>
      <c r="F156" s="1" t="s">
        <v>1252</v>
      </c>
      <c r="G156" t="s">
        <v>1253</v>
      </c>
      <c r="H156" t="s">
        <v>26</v>
      </c>
      <c r="I156" t="s">
        <v>1221</v>
      </c>
      <c r="J156">
        <v>69194428</v>
      </c>
      <c r="K156">
        <v>180</v>
      </c>
      <c r="L156" t="s">
        <v>822</v>
      </c>
      <c r="M156" t="s">
        <v>485</v>
      </c>
      <c r="N156" t="s">
        <v>29</v>
      </c>
      <c r="O156">
        <v>0</v>
      </c>
      <c r="P156">
        <v>1</v>
      </c>
      <c r="Q156" t="s">
        <v>626</v>
      </c>
      <c r="R156">
        <v>0</v>
      </c>
      <c r="S156" t="s">
        <v>56</v>
      </c>
      <c r="T156" t="s">
        <v>1070</v>
      </c>
      <c r="U156" t="s">
        <v>1254</v>
      </c>
      <c r="V156" t="s">
        <v>1584</v>
      </c>
      <c r="Y156">
        <v>1</v>
      </c>
      <c r="AC156" t="s">
        <v>35</v>
      </c>
    </row>
    <row r="157" spans="1:29" x14ac:dyDescent="0.2">
      <c r="A157" t="s">
        <v>1225</v>
      </c>
      <c r="B157" t="s">
        <v>249</v>
      </c>
      <c r="C157" t="s">
        <v>207</v>
      </c>
      <c r="D157">
        <v>2022</v>
      </c>
      <c r="E157">
        <f>VLOOKUP(default_1!F162,Hoja1!$AD$1:$AE$176,2,FALSE)</f>
        <v>8</v>
      </c>
      <c r="F157" s="1" t="s">
        <v>1226</v>
      </c>
      <c r="G157" t="s">
        <v>1227</v>
      </c>
      <c r="H157" t="s">
        <v>26</v>
      </c>
      <c r="I157" t="s">
        <v>1099</v>
      </c>
      <c r="J157">
        <v>25778268</v>
      </c>
      <c r="K157">
        <v>21</v>
      </c>
      <c r="L157" t="s">
        <v>95</v>
      </c>
      <c r="M157" t="s">
        <v>54</v>
      </c>
      <c r="N157" t="s">
        <v>29</v>
      </c>
      <c r="O157">
        <v>0</v>
      </c>
      <c r="P157">
        <v>1</v>
      </c>
      <c r="Q157" t="s">
        <v>1228</v>
      </c>
      <c r="R157">
        <v>0</v>
      </c>
      <c r="S157" t="s">
        <v>118</v>
      </c>
      <c r="T157" t="s">
        <v>26</v>
      </c>
      <c r="U157" t="s">
        <v>1556</v>
      </c>
      <c r="V157" t="s">
        <v>1585</v>
      </c>
      <c r="Y157">
        <v>0</v>
      </c>
      <c r="AA157" t="s">
        <v>1230</v>
      </c>
      <c r="AC157" t="s">
        <v>35</v>
      </c>
    </row>
    <row r="158" spans="1:29" x14ac:dyDescent="0.2">
      <c r="A158" t="s">
        <v>1185</v>
      </c>
      <c r="B158" t="s">
        <v>1186</v>
      </c>
      <c r="C158" t="s">
        <v>49</v>
      </c>
      <c r="D158">
        <v>2023</v>
      </c>
      <c r="E158">
        <f>VLOOKUP(default_1!F156,Hoja1!$AD$1:$AE$176,2,FALSE)</f>
        <v>12</v>
      </c>
      <c r="F158" s="1" t="s">
        <v>1187</v>
      </c>
      <c r="G158" t="s">
        <v>1188</v>
      </c>
      <c r="H158" t="s">
        <v>105</v>
      </c>
      <c r="J158">
        <v>105000000</v>
      </c>
      <c r="K158">
        <v>395</v>
      </c>
      <c r="L158" t="s">
        <v>1189</v>
      </c>
      <c r="M158" t="s">
        <v>1190</v>
      </c>
      <c r="N158" t="s">
        <v>29</v>
      </c>
      <c r="O158">
        <v>1</v>
      </c>
      <c r="P158">
        <v>1</v>
      </c>
      <c r="R158">
        <v>0</v>
      </c>
      <c r="S158" t="s">
        <v>44</v>
      </c>
      <c r="T158" t="s">
        <v>1191</v>
      </c>
      <c r="U158" t="s">
        <v>193</v>
      </c>
      <c r="V158" t="s">
        <v>193</v>
      </c>
      <c r="Y158">
        <v>0</v>
      </c>
      <c r="AA158" t="s">
        <v>1192</v>
      </c>
      <c r="AB158" t="s">
        <v>247</v>
      </c>
      <c r="AC158" t="s">
        <v>35</v>
      </c>
    </row>
    <row r="159" spans="1:29" x14ac:dyDescent="0.2">
      <c r="A159" t="s">
        <v>1193</v>
      </c>
      <c r="B159" t="s">
        <v>114</v>
      </c>
      <c r="C159" t="s">
        <v>1194</v>
      </c>
      <c r="D159">
        <v>2022</v>
      </c>
      <c r="E159">
        <f>VLOOKUP(default_1!F157,Hoja1!$AD$1:$AE$176,2,FALSE)</f>
        <v>16</v>
      </c>
      <c r="F159" s="1" t="s">
        <v>1195</v>
      </c>
      <c r="G159" t="s">
        <v>1196</v>
      </c>
      <c r="H159" t="s">
        <v>26</v>
      </c>
      <c r="I159" t="s">
        <v>1085</v>
      </c>
      <c r="J159">
        <v>12977264</v>
      </c>
      <c r="K159">
        <v>2</v>
      </c>
      <c r="L159" t="s">
        <v>1197</v>
      </c>
      <c r="M159" t="s">
        <v>84</v>
      </c>
      <c r="N159" t="s">
        <v>29</v>
      </c>
      <c r="O159">
        <v>1</v>
      </c>
      <c r="P159">
        <v>1</v>
      </c>
      <c r="R159">
        <v>0</v>
      </c>
      <c r="S159" t="s">
        <v>118</v>
      </c>
      <c r="T159" t="s">
        <v>1068</v>
      </c>
      <c r="U159" t="s">
        <v>1499</v>
      </c>
      <c r="V159" t="s">
        <v>1198</v>
      </c>
      <c r="Y159">
        <v>1</v>
      </c>
      <c r="AA159" t="s">
        <v>1199</v>
      </c>
      <c r="AC159" t="s">
        <v>316</v>
      </c>
    </row>
    <row r="160" spans="1:29" x14ac:dyDescent="0.2">
      <c r="A160" t="s">
        <v>1287</v>
      </c>
      <c r="B160" t="s">
        <v>1288</v>
      </c>
      <c r="C160" t="s">
        <v>49</v>
      </c>
      <c r="D160">
        <v>2017</v>
      </c>
      <c r="E160">
        <f>VLOOKUP(default_1!F173,Hoja1!$AD$1:$AE$176,2,FALSE)</f>
        <v>2</v>
      </c>
      <c r="F160" s="1" t="s">
        <v>1289</v>
      </c>
      <c r="G160" t="s">
        <v>1290</v>
      </c>
      <c r="H160" t="s">
        <v>26</v>
      </c>
      <c r="I160" t="s">
        <v>1564</v>
      </c>
      <c r="J160">
        <v>9855657663</v>
      </c>
      <c r="M160" t="s">
        <v>127</v>
      </c>
      <c r="N160" t="s">
        <v>67</v>
      </c>
      <c r="O160">
        <v>0</v>
      </c>
      <c r="P160">
        <v>0</v>
      </c>
      <c r="Q160" t="s">
        <v>1291</v>
      </c>
      <c r="R160">
        <v>0</v>
      </c>
      <c r="S160" t="s">
        <v>56</v>
      </c>
      <c r="T160" t="s">
        <v>1070</v>
      </c>
      <c r="U160" t="s">
        <v>1292</v>
      </c>
      <c r="V160" t="s">
        <v>1586</v>
      </c>
      <c r="Y160">
        <v>1</v>
      </c>
      <c r="AB160" t="s">
        <v>925</v>
      </c>
      <c r="AC160" t="s">
        <v>35</v>
      </c>
    </row>
    <row r="161" spans="1:29" x14ac:dyDescent="0.2">
      <c r="A161" t="s">
        <v>1164</v>
      </c>
      <c r="B161" t="s">
        <v>37</v>
      </c>
      <c r="C161" t="s">
        <v>224</v>
      </c>
      <c r="D161">
        <v>2023</v>
      </c>
      <c r="E161">
        <f>VLOOKUP(default_1!F152,Hoja1!$AD$1:$AE$176,2,FALSE)</f>
        <v>22</v>
      </c>
      <c r="F161" s="1" t="s">
        <v>1165</v>
      </c>
      <c r="G161" t="s">
        <v>1166</v>
      </c>
      <c r="H161" t="s">
        <v>400</v>
      </c>
      <c r="J161">
        <v>9800000</v>
      </c>
      <c r="K161">
        <v>5</v>
      </c>
      <c r="L161" t="s">
        <v>95</v>
      </c>
      <c r="M161" t="s">
        <v>634</v>
      </c>
      <c r="N161" t="s">
        <v>29</v>
      </c>
      <c r="O161">
        <v>0</v>
      </c>
      <c r="P161">
        <v>0</v>
      </c>
      <c r="Q161" t="s">
        <v>43</v>
      </c>
      <c r="R161">
        <v>0</v>
      </c>
      <c r="S161" t="s">
        <v>283</v>
      </c>
      <c r="T161" t="s">
        <v>1077</v>
      </c>
      <c r="U161" t="s">
        <v>1522</v>
      </c>
      <c r="V161" t="s">
        <v>1523</v>
      </c>
      <c r="Y161">
        <v>1</v>
      </c>
      <c r="AA161" t="s">
        <v>1168</v>
      </c>
      <c r="AC161" t="s">
        <v>35</v>
      </c>
    </row>
    <row r="162" spans="1:29" x14ac:dyDescent="0.2">
      <c r="A162" t="s">
        <v>1169</v>
      </c>
      <c r="B162" t="s">
        <v>1170</v>
      </c>
      <c r="C162" t="s">
        <v>1171</v>
      </c>
      <c r="D162">
        <v>2023</v>
      </c>
      <c r="E162">
        <f>VLOOKUP(default_1!F153,Hoja1!$AD$1:$AE$176,2,FALSE)</f>
        <v>17</v>
      </c>
      <c r="F162" s="1" t="s">
        <v>1172</v>
      </c>
      <c r="G162" t="s">
        <v>1173</v>
      </c>
      <c r="H162" t="s">
        <v>147</v>
      </c>
      <c r="J162">
        <v>6080000</v>
      </c>
      <c r="K162">
        <v>152</v>
      </c>
      <c r="M162" t="s">
        <v>1174</v>
      </c>
      <c r="O162">
        <v>0</v>
      </c>
      <c r="P162">
        <v>1</v>
      </c>
      <c r="Q162" t="s">
        <v>1175</v>
      </c>
      <c r="R162">
        <v>0</v>
      </c>
      <c r="S162" t="s">
        <v>149</v>
      </c>
      <c r="T162" t="s">
        <v>1064</v>
      </c>
      <c r="U162" t="s">
        <v>1176</v>
      </c>
      <c r="V162" t="s">
        <v>1587</v>
      </c>
      <c r="Y162">
        <v>1</v>
      </c>
      <c r="AA162" t="s">
        <v>824</v>
      </c>
      <c r="AC162" t="s">
        <v>35</v>
      </c>
    </row>
    <row r="163" spans="1:29" x14ac:dyDescent="0.2">
      <c r="A163" t="s">
        <v>1141</v>
      </c>
      <c r="B163" t="s">
        <v>91</v>
      </c>
      <c r="C163" t="s">
        <v>199</v>
      </c>
      <c r="D163">
        <v>2023</v>
      </c>
      <c r="E163">
        <f>VLOOKUP(default_1!F148,Hoja1!$AD$1:$AE$176,2,FALSE)</f>
        <v>63</v>
      </c>
      <c r="F163" s="1" t="s">
        <v>1142</v>
      </c>
      <c r="G163" t="s">
        <v>1143</v>
      </c>
      <c r="H163" t="s">
        <v>105</v>
      </c>
      <c r="J163">
        <v>1746111</v>
      </c>
      <c r="K163">
        <v>1</v>
      </c>
      <c r="L163" t="s">
        <v>41</v>
      </c>
      <c r="M163" t="s">
        <v>157</v>
      </c>
      <c r="N163" t="s">
        <v>29</v>
      </c>
      <c r="O163">
        <v>1</v>
      </c>
      <c r="P163">
        <v>1</v>
      </c>
      <c r="R163">
        <v>0</v>
      </c>
      <c r="S163" t="s">
        <v>283</v>
      </c>
      <c r="T163" t="s">
        <v>1066</v>
      </c>
      <c r="U163" t="s">
        <v>1525</v>
      </c>
      <c r="V163" t="s">
        <v>1525</v>
      </c>
      <c r="Y163">
        <v>0</v>
      </c>
      <c r="AA163" t="s">
        <v>1144</v>
      </c>
      <c r="AB163" t="s">
        <v>141</v>
      </c>
      <c r="AC163" t="s">
        <v>35</v>
      </c>
    </row>
    <row r="164" spans="1:29" x14ac:dyDescent="0.2">
      <c r="A164" t="s">
        <v>1136</v>
      </c>
      <c r="B164" t="s">
        <v>249</v>
      </c>
      <c r="C164" t="s">
        <v>124</v>
      </c>
      <c r="D164">
        <v>2023</v>
      </c>
      <c r="E164">
        <f>VLOOKUP(default_1!F147,Hoja1!$AD$1:$AE$176,2,FALSE)</f>
        <v>90</v>
      </c>
      <c r="F164" s="1" t="s">
        <v>1137</v>
      </c>
      <c r="G164" t="s">
        <v>1138</v>
      </c>
      <c r="H164" t="s">
        <v>26</v>
      </c>
      <c r="I164" t="s">
        <v>1100</v>
      </c>
      <c r="K164">
        <v>40</v>
      </c>
      <c r="L164" t="s">
        <v>190</v>
      </c>
      <c r="M164" t="s">
        <v>1132</v>
      </c>
      <c r="N164" t="s">
        <v>158</v>
      </c>
      <c r="O164">
        <v>0</v>
      </c>
      <c r="P164">
        <v>1</v>
      </c>
      <c r="Q164" t="s">
        <v>1068</v>
      </c>
      <c r="R164">
        <v>0</v>
      </c>
      <c r="S164" t="s">
        <v>118</v>
      </c>
      <c r="T164" t="s">
        <v>1068</v>
      </c>
      <c r="U164" t="s">
        <v>1488</v>
      </c>
      <c r="V164" t="s">
        <v>1139</v>
      </c>
      <c r="Y164">
        <v>1</v>
      </c>
      <c r="AA164" t="s">
        <v>1140</v>
      </c>
      <c r="AC164" t="s">
        <v>316</v>
      </c>
    </row>
    <row r="165" spans="1:29" x14ac:dyDescent="0.2">
      <c r="A165" t="s">
        <v>1151</v>
      </c>
      <c r="B165" t="s">
        <v>1152</v>
      </c>
      <c r="C165" t="s">
        <v>63</v>
      </c>
      <c r="D165">
        <v>2023</v>
      </c>
      <c r="E165">
        <f>VLOOKUP(default_1!F150,Hoja1!$AD$1:$AE$176,2,FALSE)</f>
        <v>33</v>
      </c>
      <c r="F165" s="1" t="s">
        <v>1153</v>
      </c>
      <c r="G165" t="s">
        <v>1154</v>
      </c>
      <c r="H165" t="s">
        <v>147</v>
      </c>
      <c r="J165">
        <v>42960000</v>
      </c>
      <c r="K165">
        <v>183</v>
      </c>
      <c r="L165" t="s">
        <v>1155</v>
      </c>
      <c r="M165" t="s">
        <v>1156</v>
      </c>
      <c r="O165">
        <v>1</v>
      </c>
      <c r="P165">
        <v>1</v>
      </c>
      <c r="R165">
        <v>0</v>
      </c>
      <c r="S165" t="s">
        <v>118</v>
      </c>
      <c r="T165" t="s">
        <v>1060</v>
      </c>
      <c r="U165" t="s">
        <v>1538</v>
      </c>
      <c r="V165" t="s">
        <v>984</v>
      </c>
      <c r="Y165">
        <v>1</v>
      </c>
      <c r="AA165" t="s">
        <v>512</v>
      </c>
      <c r="AC165" t="s">
        <v>35</v>
      </c>
    </row>
    <row r="166" spans="1:29" x14ac:dyDescent="0.2">
      <c r="A166" t="s">
        <v>1182</v>
      </c>
      <c r="B166" t="s">
        <v>74</v>
      </c>
      <c r="C166" t="s">
        <v>75</v>
      </c>
      <c r="D166">
        <v>2022</v>
      </c>
      <c r="E166">
        <f>VLOOKUP(default_1!F155,Hoja1!$AD$1:$AE$176,2,FALSE)</f>
        <v>16</v>
      </c>
      <c r="F166" s="1" t="s">
        <v>1183</v>
      </c>
      <c r="G166" t="s">
        <v>1184</v>
      </c>
      <c r="H166" t="s">
        <v>105</v>
      </c>
      <c r="J166">
        <v>33000000</v>
      </c>
      <c r="K166">
        <v>31</v>
      </c>
      <c r="L166" t="s">
        <v>27</v>
      </c>
      <c r="M166" t="s">
        <v>78</v>
      </c>
      <c r="N166" t="s">
        <v>29</v>
      </c>
      <c r="O166">
        <v>1</v>
      </c>
      <c r="P166">
        <v>1</v>
      </c>
      <c r="R166">
        <v>0</v>
      </c>
      <c r="S166" t="s">
        <v>283</v>
      </c>
      <c r="T166" t="s">
        <v>1066</v>
      </c>
      <c r="U166" t="s">
        <v>1525</v>
      </c>
      <c r="V166" t="s">
        <v>1525</v>
      </c>
      <c r="Y166">
        <v>0</v>
      </c>
      <c r="AA166" t="s">
        <v>140</v>
      </c>
      <c r="AC166" t="s">
        <v>35</v>
      </c>
    </row>
    <row r="167" spans="1:29" x14ac:dyDescent="0.2">
      <c r="A167" t="s">
        <v>1212</v>
      </c>
      <c r="B167" t="s">
        <v>170</v>
      </c>
      <c r="C167" t="s">
        <v>38</v>
      </c>
      <c r="D167">
        <v>2022</v>
      </c>
      <c r="E167">
        <f>VLOOKUP(default_1!F160,Hoja1!$AD$1:$AE$176,2,FALSE)</f>
        <v>10</v>
      </c>
      <c r="F167" s="1" t="s">
        <v>1213</v>
      </c>
      <c r="G167" t="s">
        <v>1214</v>
      </c>
      <c r="H167" t="s">
        <v>147</v>
      </c>
      <c r="J167">
        <v>45000000</v>
      </c>
      <c r="K167">
        <v>226</v>
      </c>
      <c r="L167" t="s">
        <v>242</v>
      </c>
      <c r="M167" t="s">
        <v>1215</v>
      </c>
      <c r="N167" t="s">
        <v>29</v>
      </c>
      <c r="O167">
        <v>1</v>
      </c>
      <c r="P167">
        <v>1</v>
      </c>
      <c r="R167">
        <v>0</v>
      </c>
      <c r="S167" t="s">
        <v>118</v>
      </c>
      <c r="T167" t="s">
        <v>1060</v>
      </c>
      <c r="U167" t="s">
        <v>1539</v>
      </c>
      <c r="V167" t="s">
        <v>1216</v>
      </c>
      <c r="Y167">
        <v>0</v>
      </c>
      <c r="AA167" t="s">
        <v>1217</v>
      </c>
      <c r="AC167" t="s">
        <v>35</v>
      </c>
    </row>
    <row r="168" spans="1:29" x14ac:dyDescent="0.2">
      <c r="A168" t="s">
        <v>1145</v>
      </c>
      <c r="B168" t="s">
        <v>37</v>
      </c>
      <c r="C168" t="s">
        <v>63</v>
      </c>
      <c r="D168">
        <v>2023</v>
      </c>
      <c r="E168">
        <f>VLOOKUP(default_1!F149,Hoja1!$AD$1:$AE$176,2,FALSE)</f>
        <v>7</v>
      </c>
      <c r="F168" s="1" t="s">
        <v>1146</v>
      </c>
      <c r="G168" t="s">
        <v>1147</v>
      </c>
      <c r="H168" t="s">
        <v>26</v>
      </c>
      <c r="I168" t="s">
        <v>1088</v>
      </c>
      <c r="J168">
        <v>73000000</v>
      </c>
      <c r="K168">
        <v>158</v>
      </c>
      <c r="L168" t="s">
        <v>27</v>
      </c>
      <c r="M168" t="s">
        <v>1148</v>
      </c>
      <c r="N168" t="s">
        <v>158</v>
      </c>
      <c r="O168">
        <v>0</v>
      </c>
      <c r="P168">
        <v>1</v>
      </c>
      <c r="Q168" t="s">
        <v>1149</v>
      </c>
      <c r="R168">
        <v>0</v>
      </c>
      <c r="S168" t="s">
        <v>56</v>
      </c>
      <c r="T168" t="s">
        <v>1070</v>
      </c>
      <c r="U168" t="s">
        <v>1498</v>
      </c>
      <c r="V168" t="s">
        <v>1588</v>
      </c>
      <c r="Y168">
        <v>0</v>
      </c>
      <c r="AA168" t="s">
        <v>598</v>
      </c>
      <c r="AC168" t="s">
        <v>35</v>
      </c>
    </row>
    <row r="169" spans="1:29" x14ac:dyDescent="0.2">
      <c r="A169" t="s">
        <v>1158</v>
      </c>
      <c r="B169" t="s">
        <v>249</v>
      </c>
      <c r="C169" t="s">
        <v>250</v>
      </c>
      <c r="D169">
        <v>2023</v>
      </c>
      <c r="E169">
        <f>VLOOKUP(default_1!F151,Hoja1!$AD$1:$AE$176,2,FALSE)</f>
        <v>27</v>
      </c>
      <c r="F169" s="1" t="s">
        <v>1159</v>
      </c>
      <c r="G169" t="s">
        <v>1160</v>
      </c>
      <c r="H169" t="s">
        <v>147</v>
      </c>
      <c r="J169">
        <v>84000000</v>
      </c>
      <c r="K169">
        <v>638</v>
      </c>
      <c r="L169" t="s">
        <v>1161</v>
      </c>
      <c r="M169" t="s">
        <v>1162</v>
      </c>
      <c r="N169" t="s">
        <v>29</v>
      </c>
      <c r="O169">
        <v>0</v>
      </c>
      <c r="P169">
        <v>1</v>
      </c>
      <c r="Q169" t="s">
        <v>1068</v>
      </c>
      <c r="R169">
        <v>0</v>
      </c>
      <c r="S169" t="s">
        <v>118</v>
      </c>
      <c r="T169" t="s">
        <v>1068</v>
      </c>
      <c r="U169" t="s">
        <v>1544</v>
      </c>
      <c r="V169" t="s">
        <v>1163</v>
      </c>
      <c r="Y169">
        <v>0</v>
      </c>
      <c r="AA169" t="s">
        <v>168</v>
      </c>
      <c r="AC169" t="s">
        <v>35</v>
      </c>
    </row>
    <row r="170" spans="1:29" x14ac:dyDescent="0.2">
      <c r="A170" t="s">
        <v>1241</v>
      </c>
      <c r="B170" t="s">
        <v>37</v>
      </c>
      <c r="C170" t="s">
        <v>250</v>
      </c>
      <c r="D170">
        <v>2019</v>
      </c>
      <c r="E170">
        <f>VLOOKUP(default_1!F165,Hoja1!$AD$1:$AE$176,2,FALSE)</f>
        <v>5</v>
      </c>
      <c r="F170" s="1" t="s">
        <v>1242</v>
      </c>
      <c r="G170" t="s">
        <v>1243</v>
      </c>
      <c r="H170" t="s">
        <v>105</v>
      </c>
      <c r="J170">
        <v>90000000</v>
      </c>
      <c r="K170">
        <v>31</v>
      </c>
      <c r="L170" t="s">
        <v>53</v>
      </c>
      <c r="M170" t="s">
        <v>1174</v>
      </c>
      <c r="N170" t="s">
        <v>29</v>
      </c>
      <c r="O170">
        <v>1</v>
      </c>
      <c r="P170">
        <v>1</v>
      </c>
      <c r="R170">
        <v>0</v>
      </c>
      <c r="S170" t="s">
        <v>118</v>
      </c>
      <c r="T170" t="s">
        <v>1060</v>
      </c>
      <c r="U170" t="s">
        <v>1244</v>
      </c>
      <c r="V170" t="s">
        <v>1521</v>
      </c>
      <c r="Y170">
        <v>0</v>
      </c>
      <c r="AA170" t="s">
        <v>34</v>
      </c>
      <c r="AC170" t="s">
        <v>35</v>
      </c>
    </row>
    <row r="171" spans="1:29" x14ac:dyDescent="0.2">
      <c r="A171" t="s">
        <v>197</v>
      </c>
      <c r="B171" t="s">
        <v>1178</v>
      </c>
      <c r="C171" t="s">
        <v>75</v>
      </c>
      <c r="D171">
        <v>2022</v>
      </c>
      <c r="E171">
        <f>VLOOKUP(default_1!F154,Hoja1!$AD$1:$AE$176,2,FALSE)</f>
        <v>15</v>
      </c>
      <c r="F171" s="1" t="s">
        <v>1179</v>
      </c>
      <c r="G171" t="s">
        <v>1180</v>
      </c>
      <c r="H171" t="s">
        <v>26</v>
      </c>
      <c r="I171" t="s">
        <v>1181</v>
      </c>
      <c r="J171">
        <v>468596472</v>
      </c>
      <c r="K171">
        <v>365</v>
      </c>
      <c r="L171" t="s">
        <v>27</v>
      </c>
      <c r="M171" t="s">
        <v>1148</v>
      </c>
      <c r="N171" t="s">
        <v>158</v>
      </c>
      <c r="O171">
        <v>1</v>
      </c>
      <c r="P171">
        <v>1</v>
      </c>
      <c r="R171">
        <v>0</v>
      </c>
      <c r="S171" t="s">
        <v>118</v>
      </c>
      <c r="T171" t="s">
        <v>1061</v>
      </c>
      <c r="U171" t="s">
        <v>204</v>
      </c>
      <c r="V171" t="s">
        <v>32</v>
      </c>
      <c r="Y171">
        <v>0</v>
      </c>
      <c r="AA171" t="s">
        <v>34</v>
      </c>
      <c r="AC171" t="s">
        <v>35</v>
      </c>
    </row>
    <row r="172" spans="1:29" x14ac:dyDescent="0.2">
      <c r="A172" t="s">
        <v>1206</v>
      </c>
      <c r="B172" t="s">
        <v>278</v>
      </c>
      <c r="C172" t="s">
        <v>1207</v>
      </c>
      <c r="D172">
        <v>2023</v>
      </c>
      <c r="E172">
        <f>VLOOKUP(default_1!F159,Hoja1!$AD$1:$AE$176,2,FALSE)</f>
        <v>11</v>
      </c>
      <c r="F172" s="1" t="s">
        <v>1208</v>
      </c>
      <c r="G172" t="s">
        <v>1209</v>
      </c>
      <c r="H172" t="s">
        <v>147</v>
      </c>
      <c r="J172">
        <v>108000000</v>
      </c>
      <c r="K172">
        <v>183</v>
      </c>
      <c r="L172" t="s">
        <v>27</v>
      </c>
      <c r="M172" t="s">
        <v>1210</v>
      </c>
      <c r="N172" t="s">
        <v>158</v>
      </c>
      <c r="O172">
        <v>1</v>
      </c>
      <c r="P172">
        <v>1</v>
      </c>
      <c r="R172">
        <v>0</v>
      </c>
      <c r="S172" t="s">
        <v>30</v>
      </c>
      <c r="T172" t="s">
        <v>1060</v>
      </c>
      <c r="U172" t="s">
        <v>1211</v>
      </c>
      <c r="V172" t="s">
        <v>373</v>
      </c>
      <c r="Y172">
        <v>1</v>
      </c>
      <c r="AC172" t="s">
        <v>35</v>
      </c>
    </row>
    <row r="173" spans="1:29" x14ac:dyDescent="0.2">
      <c r="A173" t="s">
        <v>1236</v>
      </c>
      <c r="B173" t="s">
        <v>187</v>
      </c>
      <c r="C173" t="s">
        <v>92</v>
      </c>
      <c r="D173">
        <v>2020</v>
      </c>
      <c r="E173">
        <f>VLOOKUP(default_1!F164,Hoja1!$AD$1:$AE$176,2,FALSE)</f>
        <v>7</v>
      </c>
      <c r="F173" s="1" t="s">
        <v>1237</v>
      </c>
      <c r="G173" t="s">
        <v>1238</v>
      </c>
      <c r="H173" t="s">
        <v>147</v>
      </c>
      <c r="J173">
        <v>17511710</v>
      </c>
      <c r="K173">
        <v>69</v>
      </c>
      <c r="L173" t="s">
        <v>41</v>
      </c>
      <c r="M173" t="s">
        <v>1239</v>
      </c>
      <c r="N173" t="s">
        <v>158</v>
      </c>
      <c r="O173">
        <v>1</v>
      </c>
      <c r="P173">
        <v>1</v>
      </c>
      <c r="Q173" t="s">
        <v>1240</v>
      </c>
      <c r="R173">
        <v>0</v>
      </c>
      <c r="S173" t="s">
        <v>30</v>
      </c>
      <c r="T173" t="s">
        <v>1060</v>
      </c>
      <c r="U173" t="s">
        <v>46</v>
      </c>
      <c r="V173" t="s">
        <v>1578</v>
      </c>
      <c r="Y173">
        <v>1</v>
      </c>
      <c r="AA173" t="s">
        <v>512</v>
      </c>
      <c r="AC173" t="s">
        <v>35</v>
      </c>
    </row>
    <row r="174" spans="1:29" x14ac:dyDescent="0.2">
      <c r="A174" t="s">
        <v>1114</v>
      </c>
      <c r="B174" t="s">
        <v>1115</v>
      </c>
      <c r="C174" t="s">
        <v>1116</v>
      </c>
      <c r="D174">
        <v>2023</v>
      </c>
      <c r="E174">
        <f>VLOOKUP(default_1!F144,Hoja1!$AD$1:$AE$176,2,FALSE)</f>
        <v>7</v>
      </c>
      <c r="F174" s="1" t="s">
        <v>1117</v>
      </c>
      <c r="G174" t="s">
        <v>1118</v>
      </c>
      <c r="H174" t="s">
        <v>105</v>
      </c>
      <c r="J174">
        <v>66748363</v>
      </c>
      <c r="K174">
        <v>41</v>
      </c>
      <c r="L174" t="s">
        <v>27</v>
      </c>
      <c r="M174" t="s">
        <v>127</v>
      </c>
      <c r="N174" t="s">
        <v>29</v>
      </c>
      <c r="O174">
        <v>0</v>
      </c>
      <c r="P174">
        <v>1</v>
      </c>
      <c r="Q174" t="s">
        <v>203</v>
      </c>
      <c r="R174">
        <v>0</v>
      </c>
      <c r="S174" t="s">
        <v>283</v>
      </c>
      <c r="T174" t="s">
        <v>1066</v>
      </c>
      <c r="U174" t="s">
        <v>1547</v>
      </c>
      <c r="V174" t="s">
        <v>1119</v>
      </c>
      <c r="Y174">
        <v>1</v>
      </c>
      <c r="AA174" t="s">
        <v>1120</v>
      </c>
      <c r="AC174" t="s">
        <v>35</v>
      </c>
    </row>
    <row r="175" spans="1:29" x14ac:dyDescent="0.2">
      <c r="A175" t="s">
        <v>1127</v>
      </c>
      <c r="B175" t="s">
        <v>1128</v>
      </c>
      <c r="C175" t="s">
        <v>199</v>
      </c>
      <c r="D175">
        <v>2023</v>
      </c>
      <c r="E175">
        <f>VLOOKUP(default_1!F146,Hoja1!$AD$1:$AE$176,2,FALSE)</f>
        <v>121</v>
      </c>
      <c r="F175" s="1" t="s">
        <v>1129</v>
      </c>
      <c r="G175" t="s">
        <v>1130</v>
      </c>
      <c r="H175" t="s">
        <v>147</v>
      </c>
      <c r="J175">
        <v>2361069</v>
      </c>
      <c r="K175">
        <v>92</v>
      </c>
      <c r="L175" t="s">
        <v>1131</v>
      </c>
      <c r="M175" t="s">
        <v>1132</v>
      </c>
      <c r="N175" t="s">
        <v>158</v>
      </c>
      <c r="O175">
        <v>0</v>
      </c>
      <c r="P175">
        <v>1</v>
      </c>
      <c r="Q175" t="s">
        <v>292</v>
      </c>
      <c r="R175">
        <v>0</v>
      </c>
      <c r="S175" t="s">
        <v>335</v>
      </c>
      <c r="T175" t="s">
        <v>1064</v>
      </c>
      <c r="U175" t="s">
        <v>1133</v>
      </c>
      <c r="V175" t="s">
        <v>1133</v>
      </c>
      <c r="Y175">
        <v>0</v>
      </c>
      <c r="AA175" t="s">
        <v>1135</v>
      </c>
      <c r="AC175" t="s">
        <v>35</v>
      </c>
    </row>
    <row r="176" spans="1:29" x14ac:dyDescent="0.2">
      <c r="A176" t="s">
        <v>1121</v>
      </c>
      <c r="B176" t="s">
        <v>1122</v>
      </c>
      <c r="C176" t="s">
        <v>1116</v>
      </c>
      <c r="D176">
        <v>2023</v>
      </c>
      <c r="E176">
        <f>VLOOKUP(default_1!F145,Hoja1!$AD$1:$AE$176,2,FALSE)</f>
        <v>128</v>
      </c>
      <c r="F176" s="1" t="s">
        <v>1123</v>
      </c>
      <c r="G176" t="s">
        <v>1124</v>
      </c>
      <c r="H176" t="s">
        <v>147</v>
      </c>
      <c r="J176">
        <v>4636888</v>
      </c>
      <c r="K176">
        <v>31</v>
      </c>
      <c r="L176" t="s">
        <v>27</v>
      </c>
      <c r="M176" t="s">
        <v>1125</v>
      </c>
      <c r="N176" t="s">
        <v>29</v>
      </c>
      <c r="O176">
        <v>1</v>
      </c>
      <c r="P176">
        <v>1</v>
      </c>
      <c r="R176">
        <v>0</v>
      </c>
      <c r="S176" t="s">
        <v>335</v>
      </c>
      <c r="T176" t="s">
        <v>1076</v>
      </c>
      <c r="U176" t="s">
        <v>1529</v>
      </c>
      <c r="V176" t="s">
        <v>1126</v>
      </c>
      <c r="Y176">
        <v>1</v>
      </c>
      <c r="AA176" t="s">
        <v>162</v>
      </c>
      <c r="AC176" t="s">
        <v>35</v>
      </c>
    </row>
    <row r="177" spans="1:29" x14ac:dyDescent="0.2">
      <c r="A177" t="s">
        <v>1299</v>
      </c>
      <c r="B177" t="s">
        <v>170</v>
      </c>
      <c r="C177" t="s">
        <v>144</v>
      </c>
      <c r="D177">
        <v>2014</v>
      </c>
      <c r="E177">
        <f>VLOOKUP(default_1!F175,Hoja1!$AD$1:$AE$176,2,FALSE)</f>
        <v>0</v>
      </c>
      <c r="F177" s="1" t="s">
        <v>1300</v>
      </c>
      <c r="G177" t="s">
        <v>1567</v>
      </c>
      <c r="H177" t="s">
        <v>400</v>
      </c>
      <c r="J177">
        <v>7074768</v>
      </c>
      <c r="K177">
        <v>600</v>
      </c>
      <c r="L177" t="s">
        <v>1301</v>
      </c>
      <c r="M177" t="s">
        <v>1302</v>
      </c>
      <c r="N177" t="s">
        <v>29</v>
      </c>
      <c r="O177">
        <v>0</v>
      </c>
      <c r="P177">
        <v>0</v>
      </c>
      <c r="Q177" t="s">
        <v>588</v>
      </c>
      <c r="R177">
        <v>0</v>
      </c>
      <c r="S177" t="s">
        <v>118</v>
      </c>
      <c r="T177" t="s">
        <v>1078</v>
      </c>
      <c r="U177" t="s">
        <v>1303</v>
      </c>
      <c r="V177" t="s">
        <v>30</v>
      </c>
      <c r="Y177">
        <v>0</v>
      </c>
      <c r="AA177" t="s">
        <v>1304</v>
      </c>
      <c r="AC177" t="s">
        <v>35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B419-84F9-4F87-BFB2-5E6F7B77B636}">
  <dimension ref="C1:AE335"/>
  <sheetViews>
    <sheetView topLeftCell="R81" workbookViewId="0">
      <selection activeCell="AD126" sqref="AD126"/>
    </sheetView>
  </sheetViews>
  <sheetFormatPr baseColWidth="10" defaultRowHeight="12.75" x14ac:dyDescent="0.2"/>
  <cols>
    <col min="7" max="7" width="12.28515625" bestFit="1" customWidth="1"/>
    <col min="16" max="16" width="74.85546875" bestFit="1" customWidth="1"/>
    <col min="17" max="17" width="21.5703125" bestFit="1" customWidth="1"/>
    <col min="23" max="23" width="45.42578125" bestFit="1" customWidth="1"/>
    <col min="28" max="28" width="25" bestFit="1" customWidth="1"/>
    <col min="30" max="30" width="33.7109375" bestFit="1" customWidth="1"/>
  </cols>
  <sheetData>
    <row r="1" spans="3:31" x14ac:dyDescent="0.2">
      <c r="P1" t="s">
        <v>1113</v>
      </c>
      <c r="W1" t="s">
        <v>9</v>
      </c>
      <c r="AD1" t="s">
        <v>125</v>
      </c>
      <c r="AE1">
        <v>11</v>
      </c>
    </row>
    <row r="2" spans="3:31" x14ac:dyDescent="0.2">
      <c r="P2" t="s">
        <v>32</v>
      </c>
      <c r="Q2" t="s">
        <v>32</v>
      </c>
      <c r="R2" t="str" cm="1">
        <f t="array" ref="R2:R37">_xlfn.UNIQUE(Q2:Q334)</f>
        <v>Clustering</v>
      </c>
      <c r="W2" t="s">
        <v>28</v>
      </c>
      <c r="X2" t="str" cm="1">
        <f t="array" ref="X2:X76">_xlfn._xlws.SORT(_xlfn.UNIQUE(W2:W177))</f>
        <v>Amsterdam, Netherlands</v>
      </c>
      <c r="AD2" t="s">
        <v>280</v>
      </c>
      <c r="AE2">
        <v>4</v>
      </c>
    </row>
    <row r="3" spans="3:31" x14ac:dyDescent="0.2">
      <c r="C3" t="s">
        <v>31</v>
      </c>
      <c r="G3" t="str" cm="1">
        <f t="array" ref="G3:G225">_xlfn._xlws.SORT(_xlfn.UNIQUE(C3:C335))</f>
        <v>Accesibility Index</v>
      </c>
      <c r="P3" t="s">
        <v>46</v>
      </c>
      <c r="Q3" t="s">
        <v>46</v>
      </c>
      <c r="R3" t="str">
        <v>Authors algorithm</v>
      </c>
      <c r="W3" t="s">
        <v>42</v>
      </c>
      <c r="X3" t="str">
        <v>Beer Sheva, Israel;Kiryat Gat, Israel</v>
      </c>
      <c r="AD3" t="s">
        <v>448</v>
      </c>
      <c r="AE3">
        <v>23</v>
      </c>
    </row>
    <row r="4" spans="3:31" x14ac:dyDescent="0.2">
      <c r="C4" t="s">
        <v>45</v>
      </c>
      <c r="G4" t="str">
        <v>Agglomerative hierarchical clustering</v>
      </c>
      <c r="P4" t="s">
        <v>58</v>
      </c>
      <c r="Q4" t="s">
        <v>58</v>
      </c>
      <c r="R4" t="str">
        <v>Regression</v>
      </c>
      <c r="W4" t="s">
        <v>54</v>
      </c>
      <c r="X4" t="str">
        <v>Beijing, China</v>
      </c>
      <c r="AD4" t="s">
        <v>233</v>
      </c>
      <c r="AE4">
        <v>6</v>
      </c>
    </row>
    <row r="5" spans="3:31" x14ac:dyDescent="0.2">
      <c r="C5" t="s">
        <v>57</v>
      </c>
      <c r="G5" t="str">
        <v>alighting estimation algorithm</v>
      </c>
      <c r="P5" t="s">
        <v>58</v>
      </c>
      <c r="Q5" t="s">
        <v>58</v>
      </c>
      <c r="R5" t="str">
        <v>OD matrix</v>
      </c>
      <c r="W5" t="s">
        <v>28</v>
      </c>
      <c r="X5" t="str">
        <v>Bogotá, Colombia</v>
      </c>
      <c r="AD5" t="s">
        <v>1179</v>
      </c>
      <c r="AE5">
        <v>2</v>
      </c>
    </row>
    <row r="6" spans="3:31" x14ac:dyDescent="0.2">
      <c r="C6" t="s">
        <v>220</v>
      </c>
      <c r="G6" t="str">
        <v>alighting stop inference algorithm</v>
      </c>
      <c r="P6" t="s">
        <v>79</v>
      </c>
      <c r="Q6" t="s">
        <v>79</v>
      </c>
      <c r="R6" t="str">
        <v>Stochastic modeling</v>
      </c>
      <c r="W6" t="s">
        <v>78</v>
      </c>
      <c r="X6" t="str">
        <v>Brisbane, Australia</v>
      </c>
      <c r="AD6" t="s">
        <v>398</v>
      </c>
      <c r="AE6">
        <v>2</v>
      </c>
    </row>
    <row r="7" spans="3:31" x14ac:dyDescent="0.2">
      <c r="C7" t="s">
        <v>79</v>
      </c>
      <c r="G7" t="str">
        <v>Anomaly detection</v>
      </c>
      <c r="P7" t="s">
        <v>1504</v>
      </c>
      <c r="Q7" t="s">
        <v>1133</v>
      </c>
      <c r="R7" t="str">
        <v>Optimization</v>
      </c>
      <c r="W7" t="s">
        <v>84</v>
      </c>
      <c r="X7" t="str">
        <v>Camp de Tarragona, Spain</v>
      </c>
      <c r="AD7" t="s">
        <v>455</v>
      </c>
      <c r="AE7">
        <v>23</v>
      </c>
    </row>
    <row r="8" spans="3:31" x14ac:dyDescent="0.2">
      <c r="C8" t="s">
        <v>1317</v>
      </c>
      <c r="G8" t="str">
        <v>ARIMA</v>
      </c>
      <c r="P8" t="s">
        <v>98</v>
      </c>
      <c r="Q8" t="s">
        <v>32</v>
      </c>
      <c r="R8" t="str">
        <v>Language model</v>
      </c>
      <c r="W8" t="s">
        <v>96</v>
      </c>
      <c r="X8" t="str">
        <v>Changsha, China</v>
      </c>
      <c r="AD8" t="s">
        <v>586</v>
      </c>
      <c r="AE8">
        <v>23</v>
      </c>
    </row>
    <row r="9" spans="3:31" x14ac:dyDescent="0.2">
      <c r="C9" t="s">
        <v>204</v>
      </c>
      <c r="G9" t="str">
        <v>Authors algorithm</v>
      </c>
      <c r="P9" t="s">
        <v>110</v>
      </c>
      <c r="Q9" t="s">
        <v>46</v>
      </c>
      <c r="R9" t="str">
        <v>Descriptive statistics</v>
      </c>
      <c r="W9" t="s">
        <v>106</v>
      </c>
      <c r="X9" t="str">
        <v>Chengdu, China</v>
      </c>
      <c r="AD9" t="s">
        <v>1208</v>
      </c>
      <c r="AE9">
        <v>2</v>
      </c>
    </row>
    <row r="10" spans="3:31" x14ac:dyDescent="0.2">
      <c r="C10" t="s">
        <v>943</v>
      </c>
      <c r="G10" t="str">
        <v>AVL, Fare and Schedule integration model</v>
      </c>
      <c r="P10" t="s">
        <v>58</v>
      </c>
      <c r="Q10" t="s">
        <v>58</v>
      </c>
      <c r="R10" t="str">
        <v>Deep learning</v>
      </c>
      <c r="W10" t="s">
        <v>54</v>
      </c>
      <c r="X10" t="str">
        <v>Copenhagen, Denmark</v>
      </c>
      <c r="AD10" t="s">
        <v>164</v>
      </c>
      <c r="AE10">
        <v>0</v>
      </c>
    </row>
    <row r="11" spans="3:31" x14ac:dyDescent="0.2">
      <c r="C11" t="s">
        <v>321</v>
      </c>
      <c r="G11" t="str">
        <v>Bayesian Additive Model-Gaussian Process</v>
      </c>
      <c r="P11" t="s">
        <v>618</v>
      </c>
      <c r="Q11" t="s">
        <v>1506</v>
      </c>
      <c r="R11" t="str">
        <v>Ranking algorithm</v>
      </c>
      <c r="W11" t="s">
        <v>1271</v>
      </c>
      <c r="X11" t="str">
        <v>Curitiba, Brazil</v>
      </c>
      <c r="AD11" t="s">
        <v>225</v>
      </c>
      <c r="AE11">
        <v>14</v>
      </c>
    </row>
    <row r="12" spans="3:31" x14ac:dyDescent="0.2">
      <c r="C12" t="s">
        <v>1318</v>
      </c>
      <c r="G12" t="str">
        <v>Bayesian Hierarchical</v>
      </c>
      <c r="P12" t="s">
        <v>138</v>
      </c>
      <c r="Q12" t="s">
        <v>1506</v>
      </c>
      <c r="R12" t="str">
        <v>Probability model</v>
      </c>
      <c r="W12" t="s">
        <v>136</v>
      </c>
      <c r="X12" t="str">
        <v>Daegu, South Korea</v>
      </c>
      <c r="AD12" t="s">
        <v>307</v>
      </c>
      <c r="AE12">
        <v>5</v>
      </c>
    </row>
    <row r="13" spans="3:31" x14ac:dyDescent="0.2">
      <c r="C13" t="s">
        <v>1319</v>
      </c>
      <c r="G13" t="str">
        <v>Bayesian model</v>
      </c>
      <c r="P13" t="s">
        <v>151</v>
      </c>
      <c r="Q13" t="s">
        <v>32</v>
      </c>
      <c r="R13" t="str">
        <v>Dimensionality reduction</v>
      </c>
      <c r="W13" t="s">
        <v>148</v>
      </c>
      <c r="X13" t="str">
        <v>Davangere, India</v>
      </c>
      <c r="AD13" t="s">
        <v>116</v>
      </c>
      <c r="AE13">
        <v>4</v>
      </c>
    </row>
    <row r="14" spans="3:31" x14ac:dyDescent="0.2">
      <c r="C14" t="s">
        <v>1320</v>
      </c>
      <c r="G14" t="str">
        <v>Bidirectional Long short-term memory</v>
      </c>
      <c r="P14" t="s">
        <v>160</v>
      </c>
      <c r="Q14" t="s">
        <v>58</v>
      </c>
      <c r="R14" t="str">
        <v>Anomaly detection</v>
      </c>
      <c r="W14" t="s">
        <v>157</v>
      </c>
      <c r="X14" t="str">
        <v>Denmark</v>
      </c>
      <c r="AD14" t="s">
        <v>377</v>
      </c>
      <c r="AE14">
        <v>4</v>
      </c>
    </row>
    <row r="15" spans="3:31" x14ac:dyDescent="0.2">
      <c r="C15" t="s">
        <v>119</v>
      </c>
      <c r="G15" t="str">
        <v>Binary classification</v>
      </c>
      <c r="P15" t="s">
        <v>58</v>
      </c>
      <c r="Q15" t="s">
        <v>618</v>
      </c>
      <c r="R15" t="str">
        <v>Classification</v>
      </c>
      <c r="W15" t="s">
        <v>157</v>
      </c>
      <c r="X15" t="str">
        <v>Eastern Denmark, Denmark</v>
      </c>
      <c r="AD15" t="s">
        <v>345</v>
      </c>
      <c r="AE15">
        <v>20</v>
      </c>
    </row>
    <row r="16" spans="3:31" x14ac:dyDescent="0.2">
      <c r="C16" t="s">
        <v>617</v>
      </c>
      <c r="G16" t="str">
        <v>Binary logistic model</v>
      </c>
      <c r="P16" t="s">
        <v>176</v>
      </c>
      <c r="Q16" t="s">
        <v>618</v>
      </c>
      <c r="R16" t="str">
        <v>Feature selection</v>
      </c>
      <c r="W16" t="s">
        <v>173</v>
      </c>
      <c r="X16" t="str">
        <v>Fortaleza, Brazil</v>
      </c>
      <c r="AD16" t="s">
        <v>708</v>
      </c>
      <c r="AE16">
        <v>2</v>
      </c>
    </row>
    <row r="17" spans="3:31" x14ac:dyDescent="0.2">
      <c r="C17" t="s">
        <v>617</v>
      </c>
      <c r="G17" t="str">
        <v>Binary logit</v>
      </c>
      <c r="P17" t="s">
        <v>184</v>
      </c>
      <c r="Q17" t="s">
        <v>481</v>
      </c>
      <c r="R17" t="str">
        <v>Game theory</v>
      </c>
      <c r="W17" t="s">
        <v>183</v>
      </c>
      <c r="X17" t="str">
        <v>Fuenlabrada, Spain</v>
      </c>
      <c r="AD17" t="s">
        <v>592</v>
      </c>
      <c r="AE17">
        <v>7</v>
      </c>
    </row>
    <row r="18" spans="3:31" x14ac:dyDescent="0.2">
      <c r="C18" t="s">
        <v>481</v>
      </c>
      <c r="G18" t="str">
        <v>Binary logit model</v>
      </c>
      <c r="P18" t="s">
        <v>193</v>
      </c>
      <c r="Q18" t="s">
        <v>193</v>
      </c>
      <c r="R18" t="str">
        <v>Forecasting</v>
      </c>
      <c r="W18" t="s">
        <v>84</v>
      </c>
      <c r="X18" t="str">
        <v>Gatineau, Canada</v>
      </c>
      <c r="AD18" t="s">
        <v>483</v>
      </c>
      <c r="AE18">
        <v>7</v>
      </c>
    </row>
    <row r="19" spans="3:31" x14ac:dyDescent="0.2">
      <c r="C19" t="s">
        <v>1321</v>
      </c>
      <c r="G19" t="str">
        <v>Binomial logit model</v>
      </c>
      <c r="P19" t="s">
        <v>32</v>
      </c>
      <c r="Q19" t="s">
        <v>193</v>
      </c>
      <c r="R19" t="str">
        <v>trip-chaining algorithm</v>
      </c>
      <c r="W19" t="s">
        <v>202</v>
      </c>
      <c r="X19" t="str">
        <v>Gipuzkoa, Spain</v>
      </c>
      <c r="AD19" t="s">
        <v>369</v>
      </c>
      <c r="AE19">
        <v>20</v>
      </c>
    </row>
    <row r="20" spans="3:31" x14ac:dyDescent="0.2">
      <c r="C20" t="s">
        <v>1322</v>
      </c>
      <c r="G20" t="str">
        <v>BL</v>
      </c>
      <c r="P20" t="s">
        <v>211</v>
      </c>
      <c r="Q20" t="s">
        <v>193</v>
      </c>
      <c r="R20" t="str">
        <v>Panel analysis</v>
      </c>
      <c r="W20" t="s">
        <v>28</v>
      </c>
      <c r="X20" t="str">
        <v>Greater Copenhagen area, Denmark</v>
      </c>
      <c r="AD20" t="s">
        <v>208</v>
      </c>
      <c r="AE20">
        <v>5</v>
      </c>
    </row>
    <row r="21" spans="3:31" x14ac:dyDescent="0.2">
      <c r="C21" t="s">
        <v>1323</v>
      </c>
      <c r="G21" t="str">
        <v>Boarding stop estimation</v>
      </c>
      <c r="P21" t="s">
        <v>1012</v>
      </c>
      <c r="Q21" t="s">
        <v>58</v>
      </c>
      <c r="R21" t="str">
        <v>Classifictaion</v>
      </c>
      <c r="W21" t="s">
        <v>183</v>
      </c>
      <c r="X21" t="str">
        <v>Greater Toronto and Hamilton Area, Canada</v>
      </c>
      <c r="AD21" t="s">
        <v>1560</v>
      </c>
      <c r="AE21">
        <v>18</v>
      </c>
    </row>
    <row r="22" spans="3:31" x14ac:dyDescent="0.2">
      <c r="C22" t="s">
        <v>1324</v>
      </c>
      <c r="G22" t="str">
        <v>Broyden-Fletcher-Goldfarb-Shanno</v>
      </c>
      <c r="P22" t="s">
        <v>32</v>
      </c>
      <c r="Q22" t="s">
        <v>618</v>
      </c>
      <c r="R22" t="str">
        <v>Gravity-based model</v>
      </c>
      <c r="W22" t="s">
        <v>227</v>
      </c>
      <c r="X22" t="str">
        <v>Groningen, Netherlands;Drenthe, Netherlands</v>
      </c>
      <c r="AD22" t="s">
        <v>436</v>
      </c>
      <c r="AE22">
        <v>12</v>
      </c>
    </row>
    <row r="23" spans="3:31" x14ac:dyDescent="0.2">
      <c r="C23" t="s">
        <v>1272</v>
      </c>
      <c r="G23" t="str">
        <v>Card ID-based analysis</v>
      </c>
      <c r="P23" t="s">
        <v>193</v>
      </c>
      <c r="Q23" t="s">
        <v>32</v>
      </c>
      <c r="R23" t="str">
        <v>Economical model</v>
      </c>
      <c r="W23" t="s">
        <v>28</v>
      </c>
      <c r="X23" t="str">
        <v>Guangzhou, China</v>
      </c>
      <c r="AD23" t="s">
        <v>251</v>
      </c>
      <c r="AE23">
        <v>22</v>
      </c>
    </row>
    <row r="24" spans="3:31" x14ac:dyDescent="0.2">
      <c r="C24" t="s">
        <v>228</v>
      </c>
      <c r="G24" t="str">
        <v>Clauset–Newman–Moore</v>
      </c>
      <c r="P24" t="s">
        <v>244</v>
      </c>
      <c r="Q24" t="s">
        <v>58</v>
      </c>
      <c r="R24" t="str">
        <v>Trip chaining model</v>
      </c>
      <c r="W24" t="s">
        <v>28</v>
      </c>
      <c r="X24" t="str">
        <v>Guangzhou, China;Hangzhou, China</v>
      </c>
      <c r="AD24" t="s">
        <v>539</v>
      </c>
      <c r="AE24">
        <v>39</v>
      </c>
    </row>
    <row r="25" spans="3:31" x14ac:dyDescent="0.2">
      <c r="C25" t="s">
        <v>166</v>
      </c>
      <c r="G25" t="str">
        <v>Cluster refinement framework with Cluster Member Based Stability</v>
      </c>
      <c r="P25" t="s">
        <v>32</v>
      </c>
      <c r="Q25" t="s">
        <v>58</v>
      </c>
      <c r="R25" t="str">
        <v>Genetic algorithms</v>
      </c>
      <c r="W25" t="s">
        <v>54</v>
      </c>
      <c r="X25" t="str">
        <v>Hiroshima, Japan</v>
      </c>
      <c r="AD25" t="s">
        <v>39</v>
      </c>
      <c r="AE25">
        <v>6</v>
      </c>
    </row>
    <row r="26" spans="3:31" x14ac:dyDescent="0.2">
      <c r="C26" t="s">
        <v>1325</v>
      </c>
      <c r="G26" t="str">
        <v>Clustering</v>
      </c>
      <c r="P26" t="s">
        <v>264</v>
      </c>
      <c r="Q26" t="s">
        <v>58</v>
      </c>
      <c r="R26" t="str">
        <v>Graph model</v>
      </c>
      <c r="W26" t="s">
        <v>262</v>
      </c>
      <c r="X26" t="str">
        <v>Hong Kong, China</v>
      </c>
      <c r="AD26" t="s">
        <v>133</v>
      </c>
      <c r="AE26">
        <v>7</v>
      </c>
    </row>
    <row r="27" spans="3:31" x14ac:dyDescent="0.2">
      <c r="C27" t="s">
        <v>1326</v>
      </c>
      <c r="G27" t="str">
        <v>Clustering based on socioeconomics</v>
      </c>
      <c r="P27" t="s">
        <v>193</v>
      </c>
      <c r="Q27" t="s">
        <v>58</v>
      </c>
      <c r="R27" t="str">
        <v>Time series analysis</v>
      </c>
      <c r="W27" t="s">
        <v>272</v>
      </c>
      <c r="X27" t="str">
        <v>Japan</v>
      </c>
      <c r="AD27" t="s">
        <v>155</v>
      </c>
      <c r="AE27">
        <v>4</v>
      </c>
    </row>
    <row r="28" spans="3:31" x14ac:dyDescent="0.2">
      <c r="C28" t="s">
        <v>119</v>
      </c>
      <c r="G28" t="str">
        <v>Combo</v>
      </c>
      <c r="P28" t="s">
        <v>58</v>
      </c>
      <c r="Q28" t="s">
        <v>1507</v>
      </c>
      <c r="R28" t="str">
        <v>Neural networks</v>
      </c>
      <c r="W28" t="s">
        <v>282</v>
      </c>
      <c r="X28" t="str">
        <v>Jeju, South Korea</v>
      </c>
      <c r="AD28" t="s">
        <v>188</v>
      </c>
      <c r="AE28">
        <v>4</v>
      </c>
    </row>
    <row r="29" spans="3:31" x14ac:dyDescent="0.2">
      <c r="C29" t="s">
        <v>1327</v>
      </c>
      <c r="G29" t="str">
        <v>Common lines analysis</v>
      </c>
      <c r="P29" t="s">
        <v>79</v>
      </c>
      <c r="Q29" t="s">
        <v>58</v>
      </c>
      <c r="R29" t="str">
        <v>Genetic algorithm</v>
      </c>
      <c r="W29" t="s">
        <v>54</v>
      </c>
      <c r="X29" t="str">
        <v>Jeonju, South Korea</v>
      </c>
      <c r="AD29" t="s">
        <v>1172</v>
      </c>
      <c r="AE29">
        <v>8</v>
      </c>
    </row>
    <row r="30" spans="3:31" x14ac:dyDescent="0.2">
      <c r="C30" t="s">
        <v>1328</v>
      </c>
      <c r="G30" t="str">
        <v>Conditional Random Fields</v>
      </c>
      <c r="P30" t="s">
        <v>302</v>
      </c>
      <c r="Q30" t="s">
        <v>618</v>
      </c>
      <c r="R30" t="str">
        <v>Error correction model</v>
      </c>
      <c r="W30" t="s">
        <v>300</v>
      </c>
      <c r="X30" t="str">
        <v>Kagawa Prefecture, Japan</v>
      </c>
      <c r="AD30" t="s">
        <v>145</v>
      </c>
      <c r="AE30">
        <v>20</v>
      </c>
    </row>
    <row r="31" spans="3:31" x14ac:dyDescent="0.2">
      <c r="C31" t="s">
        <v>1329</v>
      </c>
      <c r="G31" t="str">
        <v>Continuous user-based model</v>
      </c>
      <c r="P31" t="s">
        <v>79</v>
      </c>
      <c r="Q31" t="s">
        <v>618</v>
      </c>
      <c r="R31" t="str">
        <v>Trip destinaton model</v>
      </c>
      <c r="W31" t="s">
        <v>309</v>
      </c>
      <c r="X31" t="str">
        <v>Kansai Area, Japan</v>
      </c>
      <c r="AD31" t="s">
        <v>332</v>
      </c>
      <c r="AE31">
        <v>4</v>
      </c>
    </row>
    <row r="32" spans="3:31" x14ac:dyDescent="0.2">
      <c r="C32" t="s">
        <v>617</v>
      </c>
      <c r="G32" t="str">
        <v>Convolutional neural networks</v>
      </c>
      <c r="P32" t="s">
        <v>314</v>
      </c>
      <c r="Q32" t="s">
        <v>193</v>
      </c>
      <c r="R32" t="str">
        <v>Stochastic mode</v>
      </c>
      <c r="W32" t="s">
        <v>202</v>
      </c>
      <c r="X32" t="str">
        <v>Kocaeli, Turkey</v>
      </c>
      <c r="AD32" t="s">
        <v>1237</v>
      </c>
      <c r="AE32">
        <v>2</v>
      </c>
    </row>
    <row r="33" spans="3:31" x14ac:dyDescent="0.2">
      <c r="C33" t="s">
        <v>192</v>
      </c>
      <c r="G33" t="str">
        <v>Cross-nested Logit model</v>
      </c>
      <c r="P33" t="s">
        <v>854</v>
      </c>
      <c r="Q33" t="s">
        <v>32</v>
      </c>
      <c r="R33" t="str">
        <v>Algebraic model</v>
      </c>
      <c r="W33" t="s">
        <v>851</v>
      </c>
      <c r="X33" t="str">
        <v>Lisbon, Portugal</v>
      </c>
      <c r="AD33" t="s">
        <v>259</v>
      </c>
      <c r="AE33">
        <v>16</v>
      </c>
    </row>
    <row r="34" spans="3:31" x14ac:dyDescent="0.2">
      <c r="C34" t="s">
        <v>204</v>
      </c>
      <c r="G34" t="str">
        <v>Data fusion</v>
      </c>
      <c r="P34" t="s">
        <v>130</v>
      </c>
      <c r="Q34" t="s">
        <v>32</v>
      </c>
      <c r="R34" t="str">
        <v>Trip choice algorithm</v>
      </c>
      <c r="W34" t="s">
        <v>326</v>
      </c>
      <c r="X34" t="str">
        <v>London, UK</v>
      </c>
      <c r="AD34" t="s">
        <v>429</v>
      </c>
      <c r="AE34">
        <v>16</v>
      </c>
    </row>
    <row r="35" spans="3:31" x14ac:dyDescent="0.2">
      <c r="C35" t="s">
        <v>1330</v>
      </c>
      <c r="G35" t="str">
        <v>Data polishing</v>
      </c>
      <c r="P35" t="s">
        <v>32</v>
      </c>
      <c r="Q35" t="s">
        <v>58</v>
      </c>
      <c r="R35" t="str">
        <v>Data augmentation</v>
      </c>
      <c r="W35" t="s">
        <v>1271</v>
      </c>
      <c r="X35" t="str">
        <v>Macao, China</v>
      </c>
      <c r="AD35" t="s">
        <v>564</v>
      </c>
      <c r="AE35">
        <v>8</v>
      </c>
    </row>
    <row r="36" spans="3:31" x14ac:dyDescent="0.2">
      <c r="C36" t="s">
        <v>1331</v>
      </c>
      <c r="G36" t="str">
        <v>Day-to-day variability model</v>
      </c>
      <c r="P36" t="s">
        <v>32</v>
      </c>
      <c r="Q36" t="s">
        <v>510</v>
      </c>
      <c r="R36" t="str">
        <v>Multivariate interpolation</v>
      </c>
      <c r="W36" t="s">
        <v>341</v>
      </c>
      <c r="X36" t="str">
        <v>Madison, Wisconsin, United States of America</v>
      </c>
      <c r="AD36" t="s">
        <v>103</v>
      </c>
      <c r="AE36">
        <v>1</v>
      </c>
    </row>
    <row r="37" spans="3:31" x14ac:dyDescent="0.2">
      <c r="C37" t="s">
        <v>1332</v>
      </c>
      <c r="G37" t="str">
        <v>DBSACN</v>
      </c>
      <c r="P37" t="s">
        <v>130</v>
      </c>
      <c r="Q37" t="s">
        <v>58</v>
      </c>
      <c r="R37" t="str">
        <v>Cluster</v>
      </c>
      <c r="W37" t="s">
        <v>347</v>
      </c>
      <c r="X37" t="str">
        <v>Madrid, Spain</v>
      </c>
      <c r="AD37" t="s">
        <v>1142</v>
      </c>
      <c r="AE37">
        <v>5</v>
      </c>
    </row>
    <row r="38" spans="3:31" x14ac:dyDescent="0.2">
      <c r="C38" t="s">
        <v>1333</v>
      </c>
      <c r="G38" t="str">
        <v>DBSCAN</v>
      </c>
      <c r="P38" t="s">
        <v>357</v>
      </c>
      <c r="Q38" t="s">
        <v>510</v>
      </c>
      <c r="W38" t="s">
        <v>84</v>
      </c>
      <c r="X38" t="str">
        <v>Melbourne, Australia</v>
      </c>
      <c r="AD38" t="s">
        <v>702</v>
      </c>
      <c r="AE38">
        <v>3</v>
      </c>
    </row>
    <row r="39" spans="3:31" x14ac:dyDescent="0.2">
      <c r="C39" t="s">
        <v>510</v>
      </c>
      <c r="G39" t="str">
        <v>Decision tree</v>
      </c>
      <c r="P39" t="s">
        <v>130</v>
      </c>
      <c r="Q39" t="s">
        <v>32</v>
      </c>
      <c r="W39" t="s">
        <v>364</v>
      </c>
      <c r="X39" t="str">
        <v>Montréal, Canada</v>
      </c>
      <c r="AD39" t="s">
        <v>24</v>
      </c>
      <c r="AE39">
        <v>2</v>
      </c>
    </row>
    <row r="40" spans="3:31" x14ac:dyDescent="0.2">
      <c r="C40" t="s">
        <v>228</v>
      </c>
      <c r="G40" t="str">
        <v>Decision Tree diagram</v>
      </c>
      <c r="P40" t="s">
        <v>70</v>
      </c>
      <c r="Q40" t="s">
        <v>193</v>
      </c>
      <c r="W40" t="s">
        <v>66</v>
      </c>
      <c r="X40" t="str">
        <v>Nanjing, China</v>
      </c>
      <c r="AD40" t="s">
        <v>171</v>
      </c>
      <c r="AE40">
        <v>6</v>
      </c>
    </row>
    <row r="41" spans="3:31" x14ac:dyDescent="0.2">
      <c r="C41" t="s">
        <v>235</v>
      </c>
      <c r="G41" t="str">
        <v>Deep learning</v>
      </c>
      <c r="P41" t="s">
        <v>380</v>
      </c>
      <c r="Q41" t="s">
        <v>32</v>
      </c>
      <c r="W41" t="s">
        <v>84</v>
      </c>
      <c r="X41" t="str">
        <v>New York, USA</v>
      </c>
      <c r="AD41" t="s">
        <v>1213</v>
      </c>
      <c r="AE41">
        <v>3</v>
      </c>
    </row>
    <row r="42" spans="3:31" x14ac:dyDescent="0.2">
      <c r="C42" t="s">
        <v>204</v>
      </c>
      <c r="G42" t="str">
        <v>Deep Learning of Spatiotemporal Patterns</v>
      </c>
      <c r="P42" t="s">
        <v>386</v>
      </c>
      <c r="Q42" t="s">
        <v>193</v>
      </c>
      <c r="W42" t="s">
        <v>28</v>
      </c>
      <c r="X42" t="str">
        <v>Osaka, Japan</v>
      </c>
      <c r="AD42" t="s">
        <v>1159</v>
      </c>
      <c r="AE42">
        <v>5</v>
      </c>
    </row>
    <row r="43" spans="3:31" x14ac:dyDescent="0.2">
      <c r="C43" t="s">
        <v>1334</v>
      </c>
      <c r="G43" t="str">
        <v>Densely Connected Convolutional Networks</v>
      </c>
      <c r="P43" t="s">
        <v>1500</v>
      </c>
      <c r="Q43" t="s">
        <v>193</v>
      </c>
      <c r="W43" t="s">
        <v>501</v>
      </c>
      <c r="X43" t="str">
        <v>Paris, France</v>
      </c>
      <c r="AD43" t="s">
        <v>383</v>
      </c>
      <c r="AE43">
        <v>13</v>
      </c>
    </row>
    <row r="44" spans="3:31" x14ac:dyDescent="0.2">
      <c r="C44" t="s">
        <v>1335</v>
      </c>
      <c r="G44" t="str">
        <v>Descriptive statistics</v>
      </c>
      <c r="P44" t="s">
        <v>403</v>
      </c>
      <c r="Q44" t="s">
        <v>32</v>
      </c>
      <c r="W44" t="s">
        <v>1271</v>
      </c>
      <c r="X44" t="str">
        <v>Porto, Portugal</v>
      </c>
      <c r="AD44" t="s">
        <v>352</v>
      </c>
      <c r="AE44">
        <v>4</v>
      </c>
    </row>
    <row r="45" spans="3:31" x14ac:dyDescent="0.2">
      <c r="C45" t="s">
        <v>255</v>
      </c>
      <c r="G45" t="str">
        <v>Direct Ridership Model</v>
      </c>
      <c r="P45" t="s">
        <v>413</v>
      </c>
      <c r="Q45" t="s">
        <v>264</v>
      </c>
      <c r="W45" t="s">
        <v>410</v>
      </c>
      <c r="X45" t="str">
        <v>Qingdao, China</v>
      </c>
      <c r="AD45" t="s">
        <v>1137</v>
      </c>
      <c r="AE45">
        <v>7</v>
      </c>
    </row>
    <row r="46" spans="3:31" x14ac:dyDescent="0.2">
      <c r="C46" t="s">
        <v>263</v>
      </c>
      <c r="G46" t="str">
        <v>Dwell time model</v>
      </c>
      <c r="P46" t="s">
        <v>46</v>
      </c>
      <c r="Q46" t="s">
        <v>193</v>
      </c>
      <c r="W46" t="s">
        <v>127</v>
      </c>
      <c r="X46" t="str">
        <v>Rennes, France</v>
      </c>
      <c r="AD46" t="s">
        <v>93</v>
      </c>
      <c r="AE46">
        <v>4</v>
      </c>
    </row>
    <row r="47" spans="3:31" x14ac:dyDescent="0.2">
      <c r="C47" t="s">
        <v>274</v>
      </c>
      <c r="G47" t="str">
        <v>Dynamic factor model</v>
      </c>
      <c r="P47" t="s">
        <v>425</v>
      </c>
      <c r="Q47" t="s">
        <v>58</v>
      </c>
      <c r="W47" t="s">
        <v>148</v>
      </c>
      <c r="X47" t="str">
        <v>Riga, Latvia</v>
      </c>
      <c r="AD47" t="s">
        <v>416</v>
      </c>
      <c r="AE47">
        <v>17</v>
      </c>
    </row>
    <row r="48" spans="3:31" x14ac:dyDescent="0.2">
      <c r="C48" t="s">
        <v>284</v>
      </c>
      <c r="G48" t="str">
        <v>Dynamic Genetic Algorithm</v>
      </c>
      <c r="P48" t="s">
        <v>30</v>
      </c>
      <c r="Q48" t="s">
        <v>79</v>
      </c>
      <c r="W48" t="s">
        <v>84</v>
      </c>
      <c r="X48" t="str">
        <v>Rotterdam, Netherlands</v>
      </c>
      <c r="AD48" t="s">
        <v>318</v>
      </c>
      <c r="AE48">
        <v>7</v>
      </c>
    </row>
    <row r="49" spans="3:31" x14ac:dyDescent="0.2">
      <c r="C49" t="s">
        <v>817</v>
      </c>
      <c r="G49" t="str">
        <v>Dynamic mode decomposition</v>
      </c>
      <c r="P49" t="s">
        <v>32</v>
      </c>
      <c r="Q49" t="s">
        <v>1506</v>
      </c>
      <c r="W49" t="s">
        <v>127</v>
      </c>
      <c r="X49" t="str">
        <v>Santander, Spain</v>
      </c>
      <c r="AD49" t="s">
        <v>477</v>
      </c>
      <c r="AE49">
        <v>123</v>
      </c>
    </row>
    <row r="50" spans="3:31" x14ac:dyDescent="0.2">
      <c r="C50" t="s">
        <v>1336</v>
      </c>
      <c r="G50" t="str">
        <v>Dynamic programming</v>
      </c>
      <c r="P50" t="s">
        <v>446</v>
      </c>
      <c r="Q50" t="s">
        <v>58</v>
      </c>
      <c r="W50" t="s">
        <v>444</v>
      </c>
      <c r="X50" t="str">
        <v>Santiago de Chile, Chile</v>
      </c>
      <c r="AD50" t="s">
        <v>557</v>
      </c>
      <c r="AE50">
        <v>10</v>
      </c>
    </row>
    <row r="51" spans="3:31" x14ac:dyDescent="0.2">
      <c r="C51" t="s">
        <v>1337</v>
      </c>
      <c r="G51" t="str">
        <v>Early Warning Framework</v>
      </c>
      <c r="P51" t="s">
        <v>451</v>
      </c>
      <c r="Q51" t="s">
        <v>58</v>
      </c>
      <c r="W51" t="s">
        <v>227</v>
      </c>
      <c r="X51" t="str">
        <v>Santiago, Chile</v>
      </c>
      <c r="AD51" t="s">
        <v>1153</v>
      </c>
      <c r="AE51">
        <v>5</v>
      </c>
    </row>
    <row r="52" spans="3:31" x14ac:dyDescent="0.2">
      <c r="C52" t="s">
        <v>1338</v>
      </c>
      <c r="G52" t="str">
        <v>EJT framework</v>
      </c>
      <c r="P52" t="s">
        <v>459</v>
      </c>
      <c r="Q52" t="s">
        <v>32</v>
      </c>
      <c r="W52" t="s">
        <v>457</v>
      </c>
      <c r="X52" t="str">
        <v>São Paulo, Brazil</v>
      </c>
      <c r="AD52" t="s">
        <v>1165</v>
      </c>
      <c r="AE52">
        <v>8</v>
      </c>
    </row>
    <row r="53" spans="3:31" x14ac:dyDescent="0.2">
      <c r="C53" t="s">
        <v>1339</v>
      </c>
      <c r="G53" t="str">
        <v>EM algorithm</v>
      </c>
      <c r="P53" t="s">
        <v>468</v>
      </c>
      <c r="Q53" t="s">
        <v>79</v>
      </c>
      <c r="W53" t="s">
        <v>28</v>
      </c>
      <c r="X53" t="str">
        <v>Sejong City, South Korea</v>
      </c>
      <c r="AD53" t="s">
        <v>1123</v>
      </c>
      <c r="AE53">
        <v>0</v>
      </c>
    </row>
    <row r="54" spans="3:31" x14ac:dyDescent="0.2">
      <c r="C54" t="s">
        <v>79</v>
      </c>
      <c r="G54" t="str">
        <v>Excess commuting and commuting economy frameworks</v>
      </c>
      <c r="P54" t="s">
        <v>473</v>
      </c>
      <c r="Q54" t="s">
        <v>32</v>
      </c>
      <c r="W54" t="s">
        <v>320</v>
      </c>
      <c r="X54" t="str">
        <v>Seoul, South Korea</v>
      </c>
      <c r="AD54" t="s">
        <v>82</v>
      </c>
      <c r="AE54">
        <v>2</v>
      </c>
    </row>
    <row r="55" spans="3:31" x14ac:dyDescent="0.2">
      <c r="C55" t="s">
        <v>1340</v>
      </c>
      <c r="G55" t="str">
        <v>Extraction of Activity Types and Change Detection</v>
      </c>
      <c r="P55" t="s">
        <v>481</v>
      </c>
      <c r="Q55" t="s">
        <v>58</v>
      </c>
      <c r="W55" t="s">
        <v>479</v>
      </c>
      <c r="X55" t="str">
        <v>Shangai, China</v>
      </c>
      <c r="AD55" t="s">
        <v>289</v>
      </c>
      <c r="AE55">
        <v>9</v>
      </c>
    </row>
    <row r="56" spans="3:31" x14ac:dyDescent="0.2">
      <c r="C56" t="s">
        <v>1341</v>
      </c>
      <c r="G56" t="str">
        <v>Fixed effects</v>
      </c>
      <c r="P56" t="s">
        <v>486</v>
      </c>
      <c r="Q56" t="s">
        <v>816</v>
      </c>
      <c r="W56" t="s">
        <v>485</v>
      </c>
      <c r="X56" t="str">
        <v>Shanghai, China</v>
      </c>
      <c r="AD56" t="s">
        <v>661</v>
      </c>
      <c r="AE56">
        <v>15</v>
      </c>
    </row>
    <row r="57" spans="3:31" x14ac:dyDescent="0.2">
      <c r="C57" t="s">
        <v>816</v>
      </c>
      <c r="G57" t="str">
        <v>Fractional response</v>
      </c>
      <c r="P57" t="s">
        <v>32</v>
      </c>
      <c r="Q57" t="s">
        <v>264</v>
      </c>
      <c r="W57" t="s">
        <v>493</v>
      </c>
      <c r="X57" t="str">
        <v>Shenzhen, China</v>
      </c>
      <c r="AD57" t="s">
        <v>1195</v>
      </c>
      <c r="AE57">
        <v>11</v>
      </c>
    </row>
    <row r="58" spans="3:31" x14ac:dyDescent="0.2">
      <c r="C58" t="s">
        <v>1342</v>
      </c>
      <c r="G58" t="str">
        <v>Framework for Recognizing transfer passengers</v>
      </c>
      <c r="P58" t="s">
        <v>510</v>
      </c>
      <c r="Q58" t="s">
        <v>816</v>
      </c>
      <c r="W58" t="s">
        <v>1271</v>
      </c>
      <c r="X58" t="str">
        <v>Shenzhen, China;Hangzhou, China</v>
      </c>
      <c r="AD58" t="s">
        <v>632</v>
      </c>
      <c r="AE58">
        <v>36</v>
      </c>
    </row>
    <row r="59" spans="3:31" x14ac:dyDescent="0.2">
      <c r="C59" t="s">
        <v>1343</v>
      </c>
      <c r="G59" t="str">
        <v>Fully connected network</v>
      </c>
      <c r="P59" t="s">
        <v>510</v>
      </c>
      <c r="Q59" t="s">
        <v>58</v>
      </c>
      <c r="W59" t="s">
        <v>508</v>
      </c>
      <c r="X59" t="str">
        <v>Shizuoka, Japan</v>
      </c>
      <c r="AD59" t="s">
        <v>216</v>
      </c>
      <c r="AE59">
        <v>13</v>
      </c>
    </row>
    <row r="60" spans="3:31" x14ac:dyDescent="0.2">
      <c r="C60" t="s">
        <v>1344</v>
      </c>
      <c r="G60" t="str">
        <v>Gaussian mixture model</v>
      </c>
      <c r="P60" t="s">
        <v>32</v>
      </c>
      <c r="Q60" t="s">
        <v>58</v>
      </c>
      <c r="W60" t="s">
        <v>516</v>
      </c>
      <c r="X60" t="str">
        <v>Singapore</v>
      </c>
      <c r="AD60" t="s">
        <v>442</v>
      </c>
      <c r="AE60">
        <v>2</v>
      </c>
    </row>
    <row r="61" spans="3:31" x14ac:dyDescent="0.2">
      <c r="C61" t="s">
        <v>1345</v>
      </c>
      <c r="G61" t="str">
        <v>Gaussian Process Regressor</v>
      </c>
      <c r="P61" t="s">
        <v>58</v>
      </c>
      <c r="Q61" t="s">
        <v>32</v>
      </c>
      <c r="W61" t="s">
        <v>28</v>
      </c>
      <c r="X61" t="str">
        <v>South East Queensland, Australia</v>
      </c>
      <c r="AD61" t="s">
        <v>471</v>
      </c>
      <c r="AE61">
        <v>8</v>
      </c>
    </row>
    <row r="62" spans="3:31" x14ac:dyDescent="0.2">
      <c r="C62" t="s">
        <v>228</v>
      </c>
      <c r="G62" t="str">
        <v>GBRT</v>
      </c>
      <c r="P62" t="s">
        <v>337</v>
      </c>
      <c r="Q62" t="s">
        <v>32</v>
      </c>
      <c r="W62" t="s">
        <v>334</v>
      </c>
      <c r="X62" t="str">
        <v>South Korea</v>
      </c>
      <c r="AD62" t="s">
        <v>50</v>
      </c>
      <c r="AE62">
        <v>31</v>
      </c>
    </row>
    <row r="63" spans="3:31" x14ac:dyDescent="0.2">
      <c r="C63" t="s">
        <v>342</v>
      </c>
      <c r="G63" t="str">
        <v>Generalised additive mixed model</v>
      </c>
      <c r="P63" t="s">
        <v>542</v>
      </c>
      <c r="Q63" t="s">
        <v>58</v>
      </c>
      <c r="W63" t="s">
        <v>1271</v>
      </c>
      <c r="X63" t="str">
        <v>South-West Scania, Sweden</v>
      </c>
      <c r="AD63" t="s">
        <v>490</v>
      </c>
      <c r="AE63">
        <v>3</v>
      </c>
    </row>
    <row r="64" spans="3:31" x14ac:dyDescent="0.2">
      <c r="C64" t="s">
        <v>1346</v>
      </c>
      <c r="G64" t="str">
        <v>Generalized linear model</v>
      </c>
      <c r="P64" t="s">
        <v>468</v>
      </c>
      <c r="Q64" t="s">
        <v>58</v>
      </c>
      <c r="W64" t="s">
        <v>28</v>
      </c>
      <c r="X64" t="str">
        <v>Stockholm Region, Sweden</v>
      </c>
      <c r="AD64" t="s">
        <v>76</v>
      </c>
      <c r="AE64">
        <v>7</v>
      </c>
    </row>
    <row r="65" spans="3:31" x14ac:dyDescent="0.2">
      <c r="C65" t="s">
        <v>1347</v>
      </c>
      <c r="G65" t="str">
        <v>Generation logit model</v>
      </c>
      <c r="P65" t="s">
        <v>555</v>
      </c>
      <c r="Q65" t="s">
        <v>30</v>
      </c>
      <c r="W65" t="s">
        <v>28</v>
      </c>
      <c r="X65" t="str">
        <v>Stockholm, Sweden</v>
      </c>
      <c r="AD65" t="s">
        <v>240</v>
      </c>
      <c r="AE65">
        <v>6</v>
      </c>
    </row>
    <row r="66" spans="3:31" x14ac:dyDescent="0.2">
      <c r="C66" t="s">
        <v>1325</v>
      </c>
      <c r="G66" t="str">
        <v>Genetic Algorithm</v>
      </c>
      <c r="P66" t="s">
        <v>560</v>
      </c>
      <c r="Q66" t="s">
        <v>30</v>
      </c>
      <c r="W66" t="s">
        <v>28</v>
      </c>
      <c r="X66" t="str">
        <v>Suwon, South Korea</v>
      </c>
      <c r="AD66" t="s">
        <v>1183</v>
      </c>
      <c r="AE66">
        <v>3</v>
      </c>
    </row>
    <row r="67" spans="3:31" x14ac:dyDescent="0.2">
      <c r="C67" t="s">
        <v>1324</v>
      </c>
      <c r="G67" t="str">
        <v>Geo-conv Long Short-term Memory model</v>
      </c>
      <c r="P67" t="s">
        <v>58</v>
      </c>
      <c r="Q67" t="s">
        <v>30</v>
      </c>
      <c r="W67" t="s">
        <v>183</v>
      </c>
      <c r="X67" t="str">
        <v>Sydney, Australia</v>
      </c>
      <c r="AD67" t="s">
        <v>1562</v>
      </c>
      <c r="AE67">
        <v>14</v>
      </c>
    </row>
    <row r="68" spans="3:31" x14ac:dyDescent="0.2">
      <c r="C68" t="s">
        <v>1348</v>
      </c>
      <c r="G68" t="str">
        <v>Gini</v>
      </c>
      <c r="P68" t="s">
        <v>574</v>
      </c>
      <c r="Q68" t="s">
        <v>30</v>
      </c>
      <c r="W68" t="s">
        <v>54</v>
      </c>
      <c r="X68" t="str">
        <v>Tainan, Taiwan</v>
      </c>
      <c r="AD68" t="s">
        <v>1187</v>
      </c>
      <c r="AE68">
        <v>10</v>
      </c>
    </row>
    <row r="69" spans="3:31" x14ac:dyDescent="0.2">
      <c r="C69" t="s">
        <v>1349</v>
      </c>
      <c r="G69" t="str">
        <v>Gini-Indexes</v>
      </c>
      <c r="P69" t="s">
        <v>32</v>
      </c>
      <c r="Q69" t="s">
        <v>30</v>
      </c>
      <c r="W69" t="s">
        <v>579</v>
      </c>
      <c r="X69" t="str">
        <v>Taipei City, Taiwan</v>
      </c>
      <c r="AD69" t="s">
        <v>339</v>
      </c>
      <c r="AE69">
        <v>9</v>
      </c>
    </row>
    <row r="70" spans="3:31" x14ac:dyDescent="0.2">
      <c r="C70" t="s">
        <v>1326</v>
      </c>
      <c r="G70" t="str">
        <v>GMM</v>
      </c>
      <c r="P70" t="s">
        <v>589</v>
      </c>
      <c r="Q70" t="s">
        <v>1508</v>
      </c>
      <c r="W70" t="s">
        <v>1271</v>
      </c>
      <c r="X70" t="str">
        <v>The Hague, Netherlands</v>
      </c>
      <c r="AD70" t="s">
        <v>506</v>
      </c>
      <c r="AE70">
        <v>2</v>
      </c>
    </row>
    <row r="71" spans="3:31" x14ac:dyDescent="0.2">
      <c r="C71" t="s">
        <v>1350</v>
      </c>
      <c r="G71" t="str">
        <v>Gradient Boost decision tree</v>
      </c>
      <c r="P71" t="s">
        <v>596</v>
      </c>
      <c r="Q71" t="s">
        <v>58</v>
      </c>
      <c r="W71" t="s">
        <v>127</v>
      </c>
      <c r="X71" t="str">
        <v>Washington, DC, United States of America</v>
      </c>
      <c r="AD71" t="s">
        <v>1146</v>
      </c>
      <c r="AE71">
        <v>3</v>
      </c>
    </row>
    <row r="72" spans="3:31" x14ac:dyDescent="0.2">
      <c r="C72" t="s">
        <v>1351</v>
      </c>
      <c r="G72" t="str">
        <v>Gradient boosting</v>
      </c>
      <c r="P72" t="s">
        <v>314</v>
      </c>
      <c r="Q72" t="s">
        <v>58</v>
      </c>
      <c r="W72" t="s">
        <v>603</v>
      </c>
      <c r="X72" t="str">
        <v>West Midlands Combined Authority, UK</v>
      </c>
      <c r="AD72" t="s">
        <v>522</v>
      </c>
      <c r="AE72">
        <v>11</v>
      </c>
    </row>
    <row r="73" spans="3:31" x14ac:dyDescent="0.2">
      <c r="C73" t="s">
        <v>1324</v>
      </c>
      <c r="G73" t="str">
        <v>Graph model</v>
      </c>
      <c r="P73" t="s">
        <v>58</v>
      </c>
      <c r="Q73" t="s">
        <v>1509</v>
      </c>
      <c r="W73" t="s">
        <v>84</v>
      </c>
      <c r="X73" t="str">
        <v>Wuhan, China</v>
      </c>
      <c r="AD73" t="s">
        <v>552</v>
      </c>
      <c r="AE73">
        <v>35</v>
      </c>
    </row>
    <row r="74" spans="3:31" x14ac:dyDescent="0.2">
      <c r="C74" t="s">
        <v>1352</v>
      </c>
      <c r="G74" t="str">
        <v>Gravity-based model</v>
      </c>
      <c r="P74" t="s">
        <v>58</v>
      </c>
      <c r="Q74" t="s">
        <v>30</v>
      </c>
      <c r="W74" t="s">
        <v>418</v>
      </c>
      <c r="X74" t="str">
        <v>Wuhu, China</v>
      </c>
      <c r="AD74" t="s">
        <v>1202</v>
      </c>
      <c r="AE74">
        <v>7</v>
      </c>
    </row>
    <row r="75" spans="3:31" x14ac:dyDescent="0.2">
      <c r="C75" t="s">
        <v>1353</v>
      </c>
      <c r="G75" t="str">
        <v>group mobility correlation</v>
      </c>
      <c r="P75" t="s">
        <v>628</v>
      </c>
      <c r="Q75" t="s">
        <v>30</v>
      </c>
      <c r="W75" t="s">
        <v>127</v>
      </c>
      <c r="X75" t="str">
        <v>Zhongshan, China</v>
      </c>
      <c r="AD75" t="s">
        <v>624</v>
      </c>
      <c r="AE75">
        <v>15</v>
      </c>
    </row>
    <row r="76" spans="3:31" x14ac:dyDescent="0.2">
      <c r="C76" t="s">
        <v>1354</v>
      </c>
      <c r="G76" t="str">
        <v>GWNBR</v>
      </c>
      <c r="P76" t="s">
        <v>635</v>
      </c>
      <c r="Q76" t="s">
        <v>30</v>
      </c>
      <c r="W76" t="s">
        <v>634</v>
      </c>
      <c r="X76" t="str">
        <v>Zhuhai, China</v>
      </c>
      <c r="AD76" t="s">
        <v>298</v>
      </c>
      <c r="AE76">
        <v>15</v>
      </c>
    </row>
    <row r="77" spans="3:31" x14ac:dyDescent="0.2">
      <c r="C77" t="s">
        <v>431</v>
      </c>
      <c r="G77" t="str">
        <v>GWR</v>
      </c>
      <c r="P77" t="s">
        <v>645</v>
      </c>
      <c r="Q77" t="s">
        <v>481</v>
      </c>
      <c r="W77" t="s">
        <v>54</v>
      </c>
      <c r="AD77" t="s">
        <v>1117</v>
      </c>
      <c r="AE77">
        <v>0</v>
      </c>
    </row>
    <row r="78" spans="3:31" x14ac:dyDescent="0.2">
      <c r="C78" t="s">
        <v>381</v>
      </c>
      <c r="G78" t="str">
        <v>Hamming algorithm</v>
      </c>
      <c r="P78" t="s">
        <v>1502</v>
      </c>
      <c r="Q78" t="s">
        <v>32</v>
      </c>
      <c r="W78" t="s">
        <v>651</v>
      </c>
      <c r="AD78" t="s">
        <v>391</v>
      </c>
      <c r="AE78">
        <v>11</v>
      </c>
    </row>
    <row r="79" spans="3:31" x14ac:dyDescent="0.2">
      <c r="C79" t="s">
        <v>836</v>
      </c>
      <c r="G79" t="str">
        <v>HDDC</v>
      </c>
      <c r="P79" t="s">
        <v>659</v>
      </c>
      <c r="Q79" t="s">
        <v>32</v>
      </c>
      <c r="W79" t="s">
        <v>54</v>
      </c>
      <c r="AD79" t="s">
        <v>311</v>
      </c>
      <c r="AE79">
        <v>48</v>
      </c>
    </row>
    <row r="80" spans="3:31" x14ac:dyDescent="0.2">
      <c r="C80" t="s">
        <v>1355</v>
      </c>
      <c r="G80" t="str">
        <v>Hidden Markov Model</v>
      </c>
      <c r="P80" t="s">
        <v>373</v>
      </c>
      <c r="Q80" t="s">
        <v>32</v>
      </c>
      <c r="W80" t="s">
        <v>28</v>
      </c>
      <c r="AD80" t="s">
        <v>464</v>
      </c>
      <c r="AE80">
        <v>8</v>
      </c>
    </row>
    <row r="81" spans="3:31" x14ac:dyDescent="0.2">
      <c r="C81" t="s">
        <v>1356</v>
      </c>
      <c r="G81" t="str">
        <v>Hierarchical mixture model</v>
      </c>
      <c r="P81" t="s">
        <v>668</v>
      </c>
      <c r="Q81" t="s">
        <v>79</v>
      </c>
      <c r="W81" t="s">
        <v>485</v>
      </c>
      <c r="AD81" t="s">
        <v>1219</v>
      </c>
      <c r="AE81">
        <v>15</v>
      </c>
    </row>
    <row r="82" spans="3:31" x14ac:dyDescent="0.2">
      <c r="C82" t="s">
        <v>1357</v>
      </c>
      <c r="G82" t="str">
        <v>HIERARCHICHAL AGGLOMERATIVE CLUSTERING</v>
      </c>
      <c r="P82" t="s">
        <v>678</v>
      </c>
      <c r="Q82" t="s">
        <v>46</v>
      </c>
      <c r="W82" t="s">
        <v>676</v>
      </c>
      <c r="AD82" t="s">
        <v>64</v>
      </c>
      <c r="AE82">
        <v>0</v>
      </c>
    </row>
    <row r="83" spans="3:31" x14ac:dyDescent="0.2">
      <c r="C83" t="s">
        <v>1358</v>
      </c>
      <c r="G83" t="str">
        <v>Historical average time series</v>
      </c>
      <c r="P83" t="s">
        <v>32</v>
      </c>
      <c r="Q83" t="s">
        <v>1510</v>
      </c>
      <c r="W83" t="s">
        <v>54</v>
      </c>
      <c r="AD83" t="s">
        <v>1052</v>
      </c>
      <c r="AE83">
        <v>9</v>
      </c>
    </row>
    <row r="84" spans="3:31" x14ac:dyDescent="0.2">
      <c r="C84" t="s">
        <v>1359</v>
      </c>
      <c r="G84" t="str">
        <v>ID-based dataset clustering</v>
      </c>
      <c r="P84" t="s">
        <v>79</v>
      </c>
      <c r="Q84" t="s">
        <v>1501</v>
      </c>
      <c r="W84" t="s">
        <v>989</v>
      </c>
      <c r="AD84" t="s">
        <v>422</v>
      </c>
      <c r="AE84">
        <v>10</v>
      </c>
    </row>
    <row r="85" spans="3:31" x14ac:dyDescent="0.2">
      <c r="C85" t="s">
        <v>1360</v>
      </c>
      <c r="G85" t="str">
        <v>IDW interpolation</v>
      </c>
      <c r="P85" t="s">
        <v>481</v>
      </c>
      <c r="Q85" t="s">
        <v>816</v>
      </c>
      <c r="W85" t="s">
        <v>54</v>
      </c>
      <c r="AD85" t="s">
        <v>324</v>
      </c>
      <c r="AE85">
        <v>5</v>
      </c>
    </row>
    <row r="86" spans="3:31" x14ac:dyDescent="0.2">
      <c r="C86" t="s">
        <v>816</v>
      </c>
      <c r="G86" t="str">
        <v>individual correlation</v>
      </c>
      <c r="P86" t="s">
        <v>193</v>
      </c>
      <c r="Q86" t="s">
        <v>510</v>
      </c>
      <c r="W86" t="s">
        <v>1271</v>
      </c>
      <c r="AD86" t="s">
        <v>499</v>
      </c>
      <c r="AE86">
        <v>2</v>
      </c>
    </row>
    <row r="87" spans="3:31" x14ac:dyDescent="0.2">
      <c r="C87" t="s">
        <v>1361</v>
      </c>
      <c r="G87" t="str">
        <v>Inner-PNN-AECM</v>
      </c>
      <c r="P87" t="s">
        <v>373</v>
      </c>
      <c r="Q87" t="s">
        <v>58</v>
      </c>
      <c r="W87" t="s">
        <v>704</v>
      </c>
      <c r="AD87" t="s">
        <v>1226</v>
      </c>
      <c r="AE87">
        <v>16</v>
      </c>
    </row>
    <row r="88" spans="3:31" x14ac:dyDescent="0.2">
      <c r="C88" t="s">
        <v>1362</v>
      </c>
      <c r="G88" t="str">
        <v>IS2Fun</v>
      </c>
      <c r="P88" t="s">
        <v>58</v>
      </c>
      <c r="Q88" t="s">
        <v>1511</v>
      </c>
      <c r="W88" t="s">
        <v>1271</v>
      </c>
      <c r="AD88" t="s">
        <v>1232</v>
      </c>
      <c r="AE88">
        <v>17</v>
      </c>
    </row>
    <row r="89" spans="3:31" x14ac:dyDescent="0.2">
      <c r="C89" t="s">
        <v>1363</v>
      </c>
      <c r="G89" t="str">
        <v>Jenks’ Natural Breaks</v>
      </c>
      <c r="P89" t="s">
        <v>46</v>
      </c>
      <c r="Q89" t="s">
        <v>32</v>
      </c>
      <c r="W89" t="s">
        <v>84</v>
      </c>
      <c r="AD89" t="s">
        <v>577</v>
      </c>
      <c r="AE89">
        <v>33</v>
      </c>
    </row>
    <row r="90" spans="3:31" x14ac:dyDescent="0.2">
      <c r="C90" t="s">
        <v>1364</v>
      </c>
      <c r="G90" t="str">
        <v>Jensen-Shannon divergence</v>
      </c>
      <c r="P90" t="s">
        <v>720</v>
      </c>
      <c r="Q90" t="s">
        <v>46</v>
      </c>
      <c r="W90" t="s">
        <v>28</v>
      </c>
      <c r="AD90" t="s">
        <v>615</v>
      </c>
      <c r="AE90">
        <v>42</v>
      </c>
    </row>
    <row r="91" spans="3:31" x14ac:dyDescent="0.2">
      <c r="C91" t="s">
        <v>877</v>
      </c>
      <c r="G91" t="str">
        <v>k-means</v>
      </c>
      <c r="P91" t="s">
        <v>728</v>
      </c>
      <c r="Q91" t="s">
        <v>79</v>
      </c>
      <c r="W91" t="s">
        <v>725</v>
      </c>
      <c r="AD91" t="s">
        <v>608</v>
      </c>
      <c r="AE91">
        <v>9</v>
      </c>
    </row>
    <row r="92" spans="3:31" x14ac:dyDescent="0.2">
      <c r="C92" t="s">
        <v>79</v>
      </c>
      <c r="G92" t="str">
        <v>K-means++</v>
      </c>
      <c r="P92" t="s">
        <v>736</v>
      </c>
      <c r="Q92" t="s">
        <v>1512</v>
      </c>
      <c r="W92" t="s">
        <v>1561</v>
      </c>
      <c r="AD92" t="s">
        <v>570</v>
      </c>
      <c r="AE92">
        <v>43</v>
      </c>
    </row>
    <row r="93" spans="3:31" x14ac:dyDescent="0.2">
      <c r="C93" t="s">
        <v>1326</v>
      </c>
      <c r="G93" t="str">
        <v>k-NN</v>
      </c>
      <c r="P93" t="s">
        <v>46</v>
      </c>
      <c r="Q93" t="s">
        <v>1512</v>
      </c>
      <c r="W93" t="s">
        <v>743</v>
      </c>
      <c r="AD93" t="s">
        <v>601</v>
      </c>
      <c r="AE93">
        <v>2</v>
      </c>
    </row>
    <row r="94" spans="3:31" x14ac:dyDescent="0.2">
      <c r="C94" t="s">
        <v>1365</v>
      </c>
      <c r="G94" t="str">
        <v>Lagrange Multiplier</v>
      </c>
      <c r="P94" t="s">
        <v>755</v>
      </c>
      <c r="Q94" t="s">
        <v>30</v>
      </c>
      <c r="W94" t="s">
        <v>752</v>
      </c>
      <c r="AD94" t="s">
        <v>407</v>
      </c>
      <c r="AE94">
        <v>7</v>
      </c>
    </row>
    <row r="95" spans="3:31" x14ac:dyDescent="0.2">
      <c r="C95" t="s">
        <v>431</v>
      </c>
      <c r="G95" t="str">
        <v>Latent class analysis</v>
      </c>
      <c r="P95" t="s">
        <v>79</v>
      </c>
      <c r="Q95" t="s">
        <v>32</v>
      </c>
      <c r="W95" t="s">
        <v>752</v>
      </c>
      <c r="AD95" t="s">
        <v>181</v>
      </c>
      <c r="AE95">
        <v>0</v>
      </c>
    </row>
    <row r="96" spans="3:31" x14ac:dyDescent="0.2">
      <c r="C96" t="s">
        <v>204</v>
      </c>
      <c r="G96" t="str">
        <v>Latent class nested logit</v>
      </c>
      <c r="P96" t="s">
        <v>79</v>
      </c>
      <c r="Q96" t="s">
        <v>32</v>
      </c>
      <c r="W96" t="s">
        <v>183</v>
      </c>
      <c r="AD96" t="s">
        <v>1129</v>
      </c>
      <c r="AE96">
        <v>0</v>
      </c>
    </row>
    <row r="97" spans="3:31" x14ac:dyDescent="0.2">
      <c r="C97" t="s">
        <v>1366</v>
      </c>
      <c r="G97" t="str">
        <v>Latent profile analysis clustering</v>
      </c>
      <c r="P97" t="s">
        <v>772</v>
      </c>
      <c r="Q97" t="s">
        <v>481</v>
      </c>
      <c r="W97" t="s">
        <v>485</v>
      </c>
      <c r="AD97" t="s">
        <v>642</v>
      </c>
      <c r="AE97">
        <v>71</v>
      </c>
    </row>
    <row r="98" spans="3:31" x14ac:dyDescent="0.2">
      <c r="C98" t="s">
        <v>1367</v>
      </c>
      <c r="G98" t="str">
        <v>Lattent Dirichlet Allocation</v>
      </c>
      <c r="P98" t="s">
        <v>451</v>
      </c>
      <c r="Q98" t="s">
        <v>481</v>
      </c>
      <c r="W98" t="s">
        <v>28</v>
      </c>
      <c r="AD98" t="s">
        <v>361</v>
      </c>
      <c r="AE98">
        <v>2</v>
      </c>
    </row>
    <row r="99" spans="3:31" x14ac:dyDescent="0.2">
      <c r="C99" t="s">
        <v>1368</v>
      </c>
      <c r="G99" t="str">
        <v>LDA</v>
      </c>
      <c r="P99" t="s">
        <v>79</v>
      </c>
      <c r="Q99" t="s">
        <v>46</v>
      </c>
      <c r="W99" t="s">
        <v>28</v>
      </c>
      <c r="AB99" t="s">
        <v>200</v>
      </c>
      <c r="AD99" t="s">
        <v>200</v>
      </c>
      <c r="AE99">
        <v>3</v>
      </c>
    </row>
    <row r="100" spans="3:31" x14ac:dyDescent="0.2">
      <c r="C100" t="s">
        <v>1369</v>
      </c>
      <c r="G100" t="str">
        <v>LGBM</v>
      </c>
      <c r="P100" t="s">
        <v>46</v>
      </c>
      <c r="Q100" t="s">
        <v>32</v>
      </c>
      <c r="W100" t="s">
        <v>320</v>
      </c>
      <c r="AD100" t="s">
        <v>514</v>
      </c>
      <c r="AE100">
        <v>35</v>
      </c>
    </row>
    <row r="101" spans="3:31" x14ac:dyDescent="0.2">
      <c r="C101" t="s">
        <v>1355</v>
      </c>
      <c r="G101" t="str">
        <v>LightGBM</v>
      </c>
      <c r="P101" t="s">
        <v>799</v>
      </c>
      <c r="Q101" t="s">
        <v>58</v>
      </c>
      <c r="W101" t="s">
        <v>797</v>
      </c>
      <c r="AD101" t="s">
        <v>809</v>
      </c>
      <c r="AE101">
        <v>41</v>
      </c>
    </row>
    <row r="102" spans="3:31" x14ac:dyDescent="0.2">
      <c r="C102" t="s">
        <v>1370</v>
      </c>
      <c r="G102" t="str">
        <v>Linear programming</v>
      </c>
      <c r="P102" t="s">
        <v>805</v>
      </c>
      <c r="Q102" t="s">
        <v>1506</v>
      </c>
      <c r="W102" t="s">
        <v>84</v>
      </c>
      <c r="AD102" t="s">
        <v>884</v>
      </c>
      <c r="AE102">
        <v>2</v>
      </c>
    </row>
    <row r="103" spans="3:31" x14ac:dyDescent="0.2">
      <c r="C103" t="s">
        <v>1371</v>
      </c>
      <c r="G103" t="str">
        <v>linear regression</v>
      </c>
      <c r="P103" t="s">
        <v>373</v>
      </c>
      <c r="Q103" t="s">
        <v>1372</v>
      </c>
      <c r="W103" t="s">
        <v>282</v>
      </c>
      <c r="AD103" t="s">
        <v>531</v>
      </c>
      <c r="AE103">
        <v>8</v>
      </c>
    </row>
    <row r="104" spans="3:31" x14ac:dyDescent="0.2">
      <c r="C104" t="s">
        <v>1372</v>
      </c>
      <c r="G104" t="str">
        <v>Local indicators of spatial association clustering</v>
      </c>
      <c r="P104" t="s">
        <v>1043</v>
      </c>
      <c r="Q104" t="s">
        <v>58</v>
      </c>
      <c r="W104" t="s">
        <v>918</v>
      </c>
      <c r="AD104" t="s">
        <v>895</v>
      </c>
      <c r="AE104">
        <v>38</v>
      </c>
    </row>
    <row r="105" spans="3:31" x14ac:dyDescent="0.2">
      <c r="C105" t="s">
        <v>1373</v>
      </c>
      <c r="G105" t="str">
        <v>Local outlier factor</v>
      </c>
      <c r="P105" t="s">
        <v>728</v>
      </c>
      <c r="Q105" t="s">
        <v>58</v>
      </c>
      <c r="W105" t="s">
        <v>1271</v>
      </c>
      <c r="AD105" t="s">
        <v>685</v>
      </c>
      <c r="AE105">
        <v>40</v>
      </c>
    </row>
    <row r="106" spans="3:31" x14ac:dyDescent="0.2">
      <c r="C106" t="s">
        <v>1374</v>
      </c>
      <c r="G106" t="str">
        <v>logistic regresion</v>
      </c>
      <c r="P106" t="s">
        <v>46</v>
      </c>
      <c r="Q106" t="s">
        <v>1506</v>
      </c>
      <c r="W106" t="s">
        <v>28</v>
      </c>
      <c r="AD106" t="s">
        <v>940</v>
      </c>
      <c r="AE106">
        <v>12</v>
      </c>
    </row>
    <row r="107" spans="3:31" x14ac:dyDescent="0.2">
      <c r="C107" t="s">
        <v>1375</v>
      </c>
      <c r="G107" t="str">
        <v>Logistic regression</v>
      </c>
      <c r="P107" t="s">
        <v>32</v>
      </c>
      <c r="Q107" t="s">
        <v>58</v>
      </c>
      <c r="W107" t="s">
        <v>127</v>
      </c>
      <c r="AD107" t="s">
        <v>814</v>
      </c>
      <c r="AE107">
        <v>13</v>
      </c>
    </row>
    <row r="108" spans="3:31" x14ac:dyDescent="0.2">
      <c r="C108" t="s">
        <v>1376</v>
      </c>
      <c r="G108" t="str">
        <v>Logistic regression model</v>
      </c>
      <c r="P108" t="s">
        <v>30</v>
      </c>
      <c r="Q108" t="s">
        <v>481</v>
      </c>
      <c r="W108" t="s">
        <v>485</v>
      </c>
      <c r="AD108" t="s">
        <v>987</v>
      </c>
      <c r="AE108">
        <v>69</v>
      </c>
    </row>
    <row r="109" spans="3:31" x14ac:dyDescent="0.2">
      <c r="C109" t="s">
        <v>481</v>
      </c>
      <c r="G109" t="str">
        <v>London Output Area Clasification</v>
      </c>
      <c r="P109" t="s">
        <v>373</v>
      </c>
      <c r="Q109" t="s">
        <v>1260</v>
      </c>
      <c r="W109" t="s">
        <v>371</v>
      </c>
      <c r="AD109" t="s">
        <v>1026</v>
      </c>
      <c r="AE109">
        <v>43</v>
      </c>
    </row>
    <row r="110" spans="3:31" x14ac:dyDescent="0.2">
      <c r="C110" t="s">
        <v>1377</v>
      </c>
      <c r="G110" t="str">
        <v>Long short-term memory</v>
      </c>
      <c r="P110" t="s">
        <v>510</v>
      </c>
      <c r="Q110" t="s">
        <v>1260</v>
      </c>
      <c r="W110" t="s">
        <v>859</v>
      </c>
      <c r="AD110" t="s">
        <v>718</v>
      </c>
      <c r="AE110">
        <v>52</v>
      </c>
    </row>
    <row r="111" spans="3:31" x14ac:dyDescent="0.2">
      <c r="C111" t="s">
        <v>1378</v>
      </c>
      <c r="G111" t="str">
        <v>Long-short term memory neural network</v>
      </c>
      <c r="P111" t="s">
        <v>32</v>
      </c>
      <c r="Q111" t="s">
        <v>481</v>
      </c>
      <c r="W111" t="s">
        <v>320</v>
      </c>
      <c r="AD111" t="s">
        <v>761</v>
      </c>
      <c r="AE111">
        <v>5</v>
      </c>
    </row>
    <row r="112" spans="3:31" x14ac:dyDescent="0.2">
      <c r="C112" t="s">
        <v>1379</v>
      </c>
      <c r="G112" t="str">
        <v>Lorenz Curves</v>
      </c>
      <c r="P112" t="s">
        <v>130</v>
      </c>
      <c r="Q112" t="s">
        <v>32</v>
      </c>
      <c r="W112" t="s">
        <v>127</v>
      </c>
      <c r="AD112" t="s">
        <v>765</v>
      </c>
      <c r="AE112">
        <v>13</v>
      </c>
    </row>
    <row r="113" spans="3:31" x14ac:dyDescent="0.2">
      <c r="C113" t="s">
        <v>494</v>
      </c>
      <c r="G113" t="str">
        <v>LSBRS Regression Model</v>
      </c>
      <c r="P113" t="s">
        <v>130</v>
      </c>
      <c r="Q113" t="s">
        <v>510</v>
      </c>
      <c r="W113" t="s">
        <v>127</v>
      </c>
      <c r="AD113" t="s">
        <v>1242</v>
      </c>
      <c r="AE113">
        <v>3</v>
      </c>
    </row>
    <row r="114" spans="3:31" x14ac:dyDescent="0.2">
      <c r="C114" t="s">
        <v>1036</v>
      </c>
      <c r="G114" t="str">
        <v>Markov chain Monte Carlo</v>
      </c>
      <c r="P114" t="s">
        <v>1503</v>
      </c>
      <c r="Q114" t="s">
        <v>510</v>
      </c>
      <c r="W114" t="s">
        <v>28</v>
      </c>
      <c r="AD114" t="s">
        <v>713</v>
      </c>
      <c r="AE114">
        <v>29</v>
      </c>
    </row>
    <row r="115" spans="3:31" x14ac:dyDescent="0.2">
      <c r="C115" t="s">
        <v>509</v>
      </c>
      <c r="G115" t="str">
        <v>Mixed logit model</v>
      </c>
      <c r="P115" t="s">
        <v>887</v>
      </c>
      <c r="Q115" t="s">
        <v>32</v>
      </c>
      <c r="W115" t="s">
        <v>326</v>
      </c>
      <c r="AD115" t="s">
        <v>1276</v>
      </c>
      <c r="AE115">
        <v>7</v>
      </c>
    </row>
    <row r="116" spans="3:31" x14ac:dyDescent="0.2">
      <c r="C116" t="s">
        <v>204</v>
      </c>
      <c r="G116" t="str">
        <v>Mixed Logit Model with Correlated Normally Distributed Random Coefficients</v>
      </c>
      <c r="P116" t="s">
        <v>32</v>
      </c>
      <c r="Q116" t="s">
        <v>58</v>
      </c>
      <c r="W116" t="s">
        <v>634</v>
      </c>
      <c r="AD116" t="s">
        <v>947</v>
      </c>
      <c r="AE116">
        <v>295</v>
      </c>
    </row>
    <row r="117" spans="3:31" x14ac:dyDescent="0.2">
      <c r="C117" t="s">
        <v>525</v>
      </c>
      <c r="G117" t="str">
        <v>mixture distribution</v>
      </c>
      <c r="P117" t="s">
        <v>897</v>
      </c>
      <c r="Q117" t="s">
        <v>337</v>
      </c>
      <c r="W117" t="s">
        <v>282</v>
      </c>
      <c r="AD117" t="s">
        <v>1010</v>
      </c>
      <c r="AE117">
        <v>105</v>
      </c>
    </row>
    <row r="118" spans="3:31" x14ac:dyDescent="0.2">
      <c r="C118" t="s">
        <v>336</v>
      </c>
      <c r="G118" t="str">
        <v>mixture of unigrams model</v>
      </c>
      <c r="P118" t="s">
        <v>905</v>
      </c>
      <c r="Q118" t="s">
        <v>618</v>
      </c>
      <c r="W118" t="s">
        <v>183</v>
      </c>
      <c r="AD118" t="s">
        <v>674</v>
      </c>
      <c r="AE118">
        <v>18</v>
      </c>
    </row>
    <row r="119" spans="3:31" x14ac:dyDescent="0.2">
      <c r="C119" t="s">
        <v>617</v>
      </c>
      <c r="G119" t="str">
        <v>MLP</v>
      </c>
      <c r="P119" t="s">
        <v>1503</v>
      </c>
      <c r="Q119" t="s">
        <v>30</v>
      </c>
      <c r="W119" t="s">
        <v>1271</v>
      </c>
      <c r="AD119" t="s">
        <v>868</v>
      </c>
      <c r="AE119">
        <v>164</v>
      </c>
    </row>
    <row r="120" spans="3:31" x14ac:dyDescent="0.2">
      <c r="C120" t="s">
        <v>1380</v>
      </c>
      <c r="G120" t="str">
        <v>Mobility pattern estimation: Clustering: k-means and hierarchical agglomerative</v>
      </c>
      <c r="P120" t="s">
        <v>30</v>
      </c>
      <c r="Q120" t="s">
        <v>1372</v>
      </c>
      <c r="W120" t="s">
        <v>918</v>
      </c>
      <c r="AD120" t="s">
        <v>1022</v>
      </c>
      <c r="AE120">
        <v>5</v>
      </c>
    </row>
    <row r="121" spans="3:31" x14ac:dyDescent="0.2">
      <c r="C121" t="s">
        <v>1372</v>
      </c>
      <c r="G121" t="str">
        <v>Modularity-based community detection algorithm</v>
      </c>
      <c r="P121" t="s">
        <v>510</v>
      </c>
      <c r="Q121" t="s">
        <v>58</v>
      </c>
      <c r="W121" t="s">
        <v>127</v>
      </c>
      <c r="AD121" t="s">
        <v>999</v>
      </c>
      <c r="AE121">
        <v>78</v>
      </c>
    </row>
    <row r="122" spans="3:31" x14ac:dyDescent="0.2">
      <c r="C122" t="s">
        <v>1381</v>
      </c>
      <c r="G122" t="str">
        <v>mPat Architecture</v>
      </c>
      <c r="P122" t="s">
        <v>373</v>
      </c>
      <c r="Q122" t="s">
        <v>555</v>
      </c>
      <c r="W122" t="s">
        <v>929</v>
      </c>
      <c r="AD122" t="s">
        <v>692</v>
      </c>
      <c r="AE122">
        <v>9</v>
      </c>
    </row>
    <row r="123" spans="3:31" x14ac:dyDescent="0.2">
      <c r="C123" t="s">
        <v>554</v>
      </c>
      <c r="G123" t="str">
        <v>Multi-class gradient boosting decision tree</v>
      </c>
      <c r="P123" t="s">
        <v>58</v>
      </c>
      <c r="Q123" t="s">
        <v>816</v>
      </c>
      <c r="W123" t="s">
        <v>127</v>
      </c>
      <c r="AD123" t="s">
        <v>820</v>
      </c>
      <c r="AE123">
        <v>45</v>
      </c>
    </row>
    <row r="124" spans="3:31" x14ac:dyDescent="0.2">
      <c r="C124" t="s">
        <v>1382</v>
      </c>
      <c r="G124" t="str">
        <v>Multinomial logit</v>
      </c>
      <c r="P124" t="s">
        <v>46</v>
      </c>
      <c r="Q124" t="s">
        <v>32</v>
      </c>
      <c r="W124" t="s">
        <v>942</v>
      </c>
      <c r="AD124" t="s">
        <v>1312</v>
      </c>
      <c r="AE124">
        <v>33</v>
      </c>
    </row>
    <row r="125" spans="3:31" x14ac:dyDescent="0.2">
      <c r="C125" t="s">
        <v>1383</v>
      </c>
      <c r="G125" t="str">
        <v>Multinomial logit model</v>
      </c>
      <c r="P125" t="s">
        <v>32</v>
      </c>
      <c r="Q125" t="s">
        <v>58</v>
      </c>
      <c r="W125" t="s">
        <v>28</v>
      </c>
      <c r="AD125" t="s">
        <v>778</v>
      </c>
      <c r="AE125">
        <v>13</v>
      </c>
    </row>
    <row r="126" spans="3:31" x14ac:dyDescent="0.2">
      <c r="C126" t="s">
        <v>566</v>
      </c>
      <c r="G126" t="str">
        <v>Multinominal Logit model</v>
      </c>
      <c r="P126" t="s">
        <v>618</v>
      </c>
      <c r="Q126" t="s">
        <v>574</v>
      </c>
      <c r="W126" t="s">
        <v>634</v>
      </c>
      <c r="AD126" t="s">
        <v>1282</v>
      </c>
      <c r="AE126">
        <v>121</v>
      </c>
    </row>
    <row r="127" spans="3:31" x14ac:dyDescent="0.2">
      <c r="C127" t="s">
        <v>573</v>
      </c>
      <c r="G127" t="str">
        <v>Multiple linear regression</v>
      </c>
      <c r="P127" t="s">
        <v>961</v>
      </c>
      <c r="Q127" t="s">
        <v>32</v>
      </c>
      <c r="W127" t="s">
        <v>851</v>
      </c>
      <c r="AD127" t="s">
        <v>864</v>
      </c>
      <c r="AE127">
        <v>48</v>
      </c>
    </row>
    <row r="128" spans="3:31" x14ac:dyDescent="0.2">
      <c r="C128" t="s">
        <v>580</v>
      </c>
      <c r="G128" t="str">
        <v>Multi-task CNN</v>
      </c>
      <c r="P128" t="s">
        <v>32</v>
      </c>
      <c r="Q128" t="s">
        <v>30</v>
      </c>
      <c r="W128" t="s">
        <v>752</v>
      </c>
      <c r="AD128" t="s">
        <v>1247</v>
      </c>
      <c r="AE128">
        <v>16</v>
      </c>
    </row>
    <row r="129" spans="3:31" x14ac:dyDescent="0.2">
      <c r="C129" t="s">
        <v>1384</v>
      </c>
      <c r="G129" t="str">
        <v>Multi-task transfer passenger flow prediction</v>
      </c>
      <c r="P129" t="s">
        <v>58</v>
      </c>
      <c r="Q129" t="s">
        <v>30</v>
      </c>
      <c r="W129" t="s">
        <v>183</v>
      </c>
      <c r="AD129" t="s">
        <v>879</v>
      </c>
      <c r="AE129">
        <v>12</v>
      </c>
    </row>
    <row r="130" spans="3:31" x14ac:dyDescent="0.2">
      <c r="C130" t="s">
        <v>1348</v>
      </c>
      <c r="G130" t="str">
        <v>multivariable regression model</v>
      </c>
      <c r="P130" t="s">
        <v>977</v>
      </c>
      <c r="Q130" t="s">
        <v>193</v>
      </c>
      <c r="W130" t="s">
        <v>1271</v>
      </c>
      <c r="AD130" t="s">
        <v>697</v>
      </c>
      <c r="AE130">
        <v>20</v>
      </c>
    </row>
    <row r="131" spans="3:31" x14ac:dyDescent="0.2">
      <c r="C131" t="s">
        <v>1385</v>
      </c>
      <c r="G131" t="str">
        <v>Multivariate ordinary least square regression</v>
      </c>
      <c r="P131" t="s">
        <v>984</v>
      </c>
      <c r="Q131" t="s">
        <v>30</v>
      </c>
      <c r="W131" t="s">
        <v>78</v>
      </c>
      <c r="AD131" t="s">
        <v>1033</v>
      </c>
      <c r="AE131">
        <v>43</v>
      </c>
    </row>
    <row r="132" spans="3:31" x14ac:dyDescent="0.2">
      <c r="C132" t="s">
        <v>1333</v>
      </c>
      <c r="G132" t="str">
        <v>Multivariate regression model</v>
      </c>
      <c r="P132" t="s">
        <v>58</v>
      </c>
      <c r="Q132" t="s">
        <v>32</v>
      </c>
      <c r="W132" t="s">
        <v>320</v>
      </c>
      <c r="AD132" t="s">
        <v>952</v>
      </c>
      <c r="AE132">
        <v>42</v>
      </c>
    </row>
    <row r="133" spans="3:31" x14ac:dyDescent="0.2">
      <c r="C133" t="s">
        <v>204</v>
      </c>
      <c r="G133" t="str">
        <v>Naive Bayes</v>
      </c>
      <c r="P133" t="s">
        <v>996</v>
      </c>
      <c r="Q133" t="s">
        <v>32</v>
      </c>
      <c r="W133" t="s">
        <v>994</v>
      </c>
      <c r="AD133" t="s">
        <v>785</v>
      </c>
      <c r="AE133">
        <v>13</v>
      </c>
    </row>
    <row r="134" spans="3:31" x14ac:dyDescent="0.2">
      <c r="C134" t="s">
        <v>1386</v>
      </c>
      <c r="G134" t="str">
        <v>Naïve Bayes</v>
      </c>
      <c r="P134" t="s">
        <v>32</v>
      </c>
      <c r="Q134" t="s">
        <v>32</v>
      </c>
      <c r="W134" t="s">
        <v>485</v>
      </c>
      <c r="AD134" t="s">
        <v>1306</v>
      </c>
      <c r="AE134">
        <v>63</v>
      </c>
    </row>
    <row r="135" spans="3:31" x14ac:dyDescent="0.2">
      <c r="C135" t="s">
        <v>1387</v>
      </c>
      <c r="G135" t="str">
        <v>NARX</v>
      </c>
      <c r="P135" t="s">
        <v>574</v>
      </c>
      <c r="Q135" t="s">
        <v>32</v>
      </c>
      <c r="W135" t="s">
        <v>28</v>
      </c>
      <c r="AD135" t="s">
        <v>768</v>
      </c>
      <c r="AE135">
        <v>14</v>
      </c>
    </row>
    <row r="136" spans="3:31" x14ac:dyDescent="0.2">
      <c r="C136" t="s">
        <v>1388</v>
      </c>
      <c r="G136" t="str">
        <v>Negative binomial regression</v>
      </c>
      <c r="P136" t="s">
        <v>151</v>
      </c>
      <c r="Q136" t="s">
        <v>264</v>
      </c>
      <c r="W136" t="s">
        <v>418</v>
      </c>
      <c r="AD136" t="s">
        <v>1039</v>
      </c>
      <c r="AE136">
        <v>286</v>
      </c>
    </row>
    <row r="137" spans="3:31" x14ac:dyDescent="0.2">
      <c r="C137" t="s">
        <v>1389</v>
      </c>
      <c r="G137" t="str">
        <v>Neural network</v>
      </c>
      <c r="P137" t="s">
        <v>58</v>
      </c>
      <c r="Q137" t="s">
        <v>32</v>
      </c>
      <c r="W137" t="s">
        <v>1018</v>
      </c>
      <c r="AD137" t="s">
        <v>656</v>
      </c>
      <c r="AE137">
        <v>134</v>
      </c>
    </row>
    <row r="138" spans="3:31" x14ac:dyDescent="0.2">
      <c r="C138" t="s">
        <v>1390</v>
      </c>
      <c r="G138" t="str">
        <v>n-gram</v>
      </c>
      <c r="P138" t="s">
        <v>130</v>
      </c>
      <c r="Q138" t="s">
        <v>58</v>
      </c>
      <c r="W138" t="s">
        <v>84</v>
      </c>
      <c r="AD138" t="s">
        <v>965</v>
      </c>
      <c r="AE138">
        <v>35</v>
      </c>
    </row>
    <row r="139" spans="3:31" x14ac:dyDescent="0.2">
      <c r="C139" t="s">
        <v>166</v>
      </c>
      <c r="G139" t="str">
        <v>Non-negative matrix factorization</v>
      </c>
      <c r="P139" t="s">
        <v>176</v>
      </c>
      <c r="Q139" t="s">
        <v>58</v>
      </c>
      <c r="W139" t="s">
        <v>1028</v>
      </c>
      <c r="AD139" t="s">
        <v>1268</v>
      </c>
      <c r="AE139">
        <v>90</v>
      </c>
    </row>
    <row r="140" spans="3:31" x14ac:dyDescent="0.2">
      <c r="C140" t="s">
        <v>611</v>
      </c>
      <c r="G140" t="str">
        <v>non-negative tensor decomposition</v>
      </c>
      <c r="P140" t="s">
        <v>293</v>
      </c>
      <c r="Q140" t="s">
        <v>58</v>
      </c>
      <c r="W140" t="s">
        <v>291</v>
      </c>
      <c r="AD140" t="s">
        <v>1004</v>
      </c>
      <c r="AE140">
        <v>20</v>
      </c>
    </row>
    <row r="141" spans="3:31" x14ac:dyDescent="0.2">
      <c r="C141" t="s">
        <v>688</v>
      </c>
      <c r="G141" t="str">
        <v>non-negative tensor factorization</v>
      </c>
      <c r="P141" t="s">
        <v>1501</v>
      </c>
      <c r="Q141" t="s">
        <v>1507</v>
      </c>
      <c r="W141" t="s">
        <v>54</v>
      </c>
      <c r="AD141" t="s">
        <v>1300</v>
      </c>
      <c r="AE141">
        <v>219</v>
      </c>
    </row>
    <row r="142" spans="3:31" x14ac:dyDescent="0.2">
      <c r="C142" t="s">
        <v>1391</v>
      </c>
      <c r="G142" t="str">
        <v>Normalized Mutual Information</v>
      </c>
      <c r="P142" t="s">
        <v>193</v>
      </c>
      <c r="Q142" t="s">
        <v>574</v>
      </c>
      <c r="W142" t="s">
        <v>1047</v>
      </c>
      <c r="AD142" t="s">
        <v>665</v>
      </c>
      <c r="AE142">
        <v>20</v>
      </c>
    </row>
    <row r="143" spans="3:31" x14ac:dyDescent="0.2">
      <c r="C143" t="s">
        <v>1392</v>
      </c>
      <c r="G143" t="str">
        <v>OD analysis</v>
      </c>
      <c r="P143" t="s">
        <v>46</v>
      </c>
      <c r="Q143" t="s">
        <v>574</v>
      </c>
      <c r="W143" t="s">
        <v>127</v>
      </c>
      <c r="AD143" t="s">
        <v>927</v>
      </c>
      <c r="AE143">
        <v>168</v>
      </c>
    </row>
    <row r="144" spans="3:31" x14ac:dyDescent="0.2">
      <c r="C144" t="s">
        <v>1393</v>
      </c>
      <c r="G144" t="str">
        <v>OD matrix</v>
      </c>
      <c r="P144" t="s">
        <v>1119</v>
      </c>
      <c r="Q144" t="s">
        <v>574</v>
      </c>
      <c r="W144" t="s">
        <v>127</v>
      </c>
      <c r="AD144" t="s">
        <v>750</v>
      </c>
      <c r="AE144">
        <v>11</v>
      </c>
    </row>
    <row r="145" spans="3:31" x14ac:dyDescent="0.2">
      <c r="C145" t="s">
        <v>1394</v>
      </c>
      <c r="G145" t="str">
        <v>ODX</v>
      </c>
      <c r="P145" t="s">
        <v>1126</v>
      </c>
      <c r="Q145" t="s">
        <v>58</v>
      </c>
      <c r="W145" t="s">
        <v>1125</v>
      </c>
      <c r="AD145" t="s">
        <v>840</v>
      </c>
      <c r="AE145">
        <v>12</v>
      </c>
    </row>
    <row r="146" spans="3:31" x14ac:dyDescent="0.2">
      <c r="C146" t="s">
        <v>1395</v>
      </c>
      <c r="G146" t="str">
        <v>OLS</v>
      </c>
      <c r="P146" t="s">
        <v>1133</v>
      </c>
      <c r="Q146" t="s">
        <v>58</v>
      </c>
      <c r="W146" t="s">
        <v>1132</v>
      </c>
      <c r="AD146" t="s">
        <v>933</v>
      </c>
      <c r="AE146">
        <v>146</v>
      </c>
    </row>
    <row r="147" spans="3:31" x14ac:dyDescent="0.2">
      <c r="C147" t="s">
        <v>1396</v>
      </c>
      <c r="G147" t="str">
        <v>Ordinary least squares</v>
      </c>
      <c r="P147" t="s">
        <v>1139</v>
      </c>
      <c r="Q147" t="s">
        <v>32</v>
      </c>
      <c r="W147" t="s">
        <v>1132</v>
      </c>
      <c r="AD147" t="s">
        <v>975</v>
      </c>
      <c r="AE147">
        <v>158</v>
      </c>
    </row>
    <row r="148" spans="3:31" x14ac:dyDescent="0.2">
      <c r="C148" t="s">
        <v>204</v>
      </c>
      <c r="G148" t="str">
        <v>Ordinary least squares regresssion</v>
      </c>
      <c r="P148" t="s">
        <v>1501</v>
      </c>
      <c r="Q148" t="s">
        <v>30</v>
      </c>
      <c r="W148" t="s">
        <v>157</v>
      </c>
      <c r="AD148" t="s">
        <v>723</v>
      </c>
      <c r="AE148">
        <v>30</v>
      </c>
    </row>
    <row r="149" spans="3:31" x14ac:dyDescent="0.2">
      <c r="C149" t="s">
        <v>1397</v>
      </c>
      <c r="G149" t="str">
        <v>Ortegatong et al. 2013</v>
      </c>
      <c r="P149" t="s">
        <v>1150</v>
      </c>
      <c r="Q149" t="s">
        <v>58</v>
      </c>
      <c r="W149" t="s">
        <v>1148</v>
      </c>
      <c r="AD149" t="s">
        <v>1263</v>
      </c>
      <c r="AE149">
        <v>22</v>
      </c>
    </row>
    <row r="150" spans="3:31" x14ac:dyDescent="0.2">
      <c r="C150" t="s">
        <v>1398</v>
      </c>
      <c r="G150" t="str">
        <v>PageRank</v>
      </c>
      <c r="P150" t="s">
        <v>984</v>
      </c>
      <c r="Q150" t="s">
        <v>1501</v>
      </c>
      <c r="W150" t="s">
        <v>1156</v>
      </c>
      <c r="AD150" t="s">
        <v>980</v>
      </c>
      <c r="AE150">
        <v>6</v>
      </c>
    </row>
    <row r="151" spans="3:31" x14ac:dyDescent="0.2">
      <c r="C151" t="s">
        <v>336</v>
      </c>
      <c r="G151" t="str">
        <v>Panel data model</v>
      </c>
      <c r="P151" t="s">
        <v>1163</v>
      </c>
      <c r="Q151" t="s">
        <v>481</v>
      </c>
      <c r="W151" t="s">
        <v>1162</v>
      </c>
      <c r="AD151" t="s">
        <v>891</v>
      </c>
      <c r="AE151">
        <v>6</v>
      </c>
    </row>
    <row r="152" spans="3:31" x14ac:dyDescent="0.2">
      <c r="C152" t="s">
        <v>481</v>
      </c>
      <c r="G152" t="str">
        <v>Partitioning around medoids</v>
      </c>
      <c r="P152" t="s">
        <v>1167</v>
      </c>
      <c r="Q152" t="s">
        <v>728</v>
      </c>
      <c r="W152" t="s">
        <v>634</v>
      </c>
      <c r="AD152" t="s">
        <v>915</v>
      </c>
      <c r="AE152">
        <v>141</v>
      </c>
    </row>
    <row r="153" spans="3:31" x14ac:dyDescent="0.2">
      <c r="C153" t="s">
        <v>1399</v>
      </c>
      <c r="G153" t="str">
        <v>passenger arrival rate prediction model</v>
      </c>
      <c r="P153" t="s">
        <v>1177</v>
      </c>
      <c r="Q153" t="s">
        <v>58</v>
      </c>
      <c r="W153" t="s">
        <v>1174</v>
      </c>
      <c r="AD153" t="s">
        <v>795</v>
      </c>
      <c r="AE153">
        <v>15</v>
      </c>
    </row>
    <row r="154" spans="3:31" x14ac:dyDescent="0.2">
      <c r="C154" t="s">
        <v>1400</v>
      </c>
      <c r="G154" t="str">
        <v>Passenger profiling algorithm</v>
      </c>
      <c r="P154" t="s">
        <v>32</v>
      </c>
      <c r="Q154" t="s">
        <v>58</v>
      </c>
      <c r="W154" t="s">
        <v>1148</v>
      </c>
      <c r="AD154" t="s">
        <v>910</v>
      </c>
      <c r="AE154">
        <v>7</v>
      </c>
    </row>
    <row r="155" spans="3:31" x14ac:dyDescent="0.2">
      <c r="C155" t="s">
        <v>119</v>
      </c>
      <c r="G155" t="str">
        <v>Passenger to train assignment</v>
      </c>
      <c r="P155" t="s">
        <v>1501</v>
      </c>
      <c r="Q155" t="s">
        <v>32</v>
      </c>
      <c r="W155" t="s">
        <v>78</v>
      </c>
      <c r="AD155" t="s">
        <v>849</v>
      </c>
      <c r="AE155">
        <v>16</v>
      </c>
    </row>
    <row r="156" spans="3:31" x14ac:dyDescent="0.2">
      <c r="C156" t="s">
        <v>204</v>
      </c>
      <c r="G156" t="str">
        <v>Path size logit</v>
      </c>
      <c r="P156" t="s">
        <v>193</v>
      </c>
      <c r="Q156" t="s">
        <v>32</v>
      </c>
      <c r="W156" t="s">
        <v>1190</v>
      </c>
      <c r="AD156" t="s">
        <v>902</v>
      </c>
      <c r="AE156">
        <v>37</v>
      </c>
    </row>
    <row r="157" spans="3:31" x14ac:dyDescent="0.2">
      <c r="C157" t="s">
        <v>1401</v>
      </c>
      <c r="G157" t="str">
        <v>PCA</v>
      </c>
      <c r="P157" t="s">
        <v>1198</v>
      </c>
      <c r="Q157" t="s">
        <v>1513</v>
      </c>
      <c r="W157" t="s">
        <v>84</v>
      </c>
      <c r="AD157" t="s">
        <v>1252</v>
      </c>
      <c r="AE157">
        <v>12</v>
      </c>
    </row>
    <row r="158" spans="3:31" x14ac:dyDescent="0.2">
      <c r="C158" t="s">
        <v>1402</v>
      </c>
      <c r="G158" t="str">
        <v>P-DN</v>
      </c>
      <c r="P158" t="s">
        <v>1204</v>
      </c>
      <c r="Q158" t="s">
        <v>193</v>
      </c>
      <c r="W158" t="s">
        <v>1203</v>
      </c>
      <c r="AD158" t="s">
        <v>803</v>
      </c>
      <c r="AE158">
        <v>1</v>
      </c>
    </row>
    <row r="159" spans="3:31" x14ac:dyDescent="0.2">
      <c r="C159" t="s">
        <v>1403</v>
      </c>
      <c r="G159" t="str">
        <v>Poisson distribution</v>
      </c>
      <c r="P159" t="s">
        <v>373</v>
      </c>
      <c r="Q159" t="s">
        <v>32</v>
      </c>
      <c r="W159" t="s">
        <v>1210</v>
      </c>
      <c r="AD159" t="s">
        <v>681</v>
      </c>
      <c r="AE159">
        <v>47</v>
      </c>
    </row>
    <row r="160" spans="3:31" x14ac:dyDescent="0.2">
      <c r="C160" t="s">
        <v>1404</v>
      </c>
      <c r="G160" t="str">
        <v>Poisson mixture</v>
      </c>
      <c r="P160" t="s">
        <v>1216</v>
      </c>
      <c r="Q160" t="s">
        <v>1435</v>
      </c>
      <c r="W160" t="s">
        <v>1215</v>
      </c>
      <c r="AD160" t="s">
        <v>791</v>
      </c>
      <c r="AE160">
        <v>28</v>
      </c>
    </row>
    <row r="161" spans="3:31" x14ac:dyDescent="0.2">
      <c r="C161" t="s">
        <v>1405</v>
      </c>
      <c r="G161" t="str">
        <v>Probabilistic model</v>
      </c>
      <c r="P161" t="s">
        <v>1224</v>
      </c>
      <c r="Q161" t="s">
        <v>32</v>
      </c>
      <c r="W161" t="s">
        <v>485</v>
      </c>
      <c r="AD161" t="s">
        <v>733</v>
      </c>
      <c r="AE161">
        <v>23</v>
      </c>
    </row>
    <row r="162" spans="3:31" x14ac:dyDescent="0.2">
      <c r="C162" t="s">
        <v>204</v>
      </c>
      <c r="G162" t="str">
        <v>Probability distribution functions</v>
      </c>
      <c r="P162" t="s">
        <v>1229</v>
      </c>
      <c r="Q162" t="s">
        <v>79</v>
      </c>
      <c r="W162" t="s">
        <v>54</v>
      </c>
      <c r="AD162" t="s">
        <v>923</v>
      </c>
      <c r="AE162">
        <v>95</v>
      </c>
    </row>
    <row r="163" spans="3:31" x14ac:dyDescent="0.2">
      <c r="C163" t="s">
        <v>79</v>
      </c>
      <c r="G163" t="str">
        <v>Probability model</v>
      </c>
      <c r="P163" t="s">
        <v>1234</v>
      </c>
      <c r="Q163" t="s">
        <v>481</v>
      </c>
      <c r="W163" t="s">
        <v>28</v>
      </c>
      <c r="AD163" t="s">
        <v>649</v>
      </c>
      <c r="AE163">
        <v>35</v>
      </c>
    </row>
    <row r="164" spans="3:31" x14ac:dyDescent="0.2">
      <c r="C164" t="s">
        <v>481</v>
      </c>
      <c r="G164" t="str">
        <v>ProClus</v>
      </c>
      <c r="P164" t="s">
        <v>46</v>
      </c>
      <c r="Q164" t="s">
        <v>193</v>
      </c>
      <c r="W164" t="s">
        <v>1239</v>
      </c>
      <c r="AD164" t="s">
        <v>1015</v>
      </c>
      <c r="AE164">
        <v>129</v>
      </c>
    </row>
    <row r="165" spans="3:31" x14ac:dyDescent="0.2">
      <c r="C165" t="s">
        <v>699</v>
      </c>
      <c r="G165" t="str">
        <v>Product-based spatial and temporal module with Inner-product neural network + Auto-encoder-based compression module</v>
      </c>
      <c r="P165" t="s">
        <v>1245</v>
      </c>
      <c r="Q165" t="s">
        <v>32</v>
      </c>
      <c r="W165" t="s">
        <v>1174</v>
      </c>
      <c r="AD165" t="s">
        <v>873</v>
      </c>
      <c r="AE165">
        <v>11</v>
      </c>
    </row>
    <row r="166" spans="3:31" x14ac:dyDescent="0.2">
      <c r="C166" t="s">
        <v>1406</v>
      </c>
      <c r="G166" t="str">
        <v>PSTM</v>
      </c>
      <c r="P166" t="s">
        <v>32</v>
      </c>
      <c r="Q166" t="s">
        <v>32</v>
      </c>
      <c r="W166" t="s">
        <v>918</v>
      </c>
      <c r="AD166" t="s">
        <v>857</v>
      </c>
      <c r="AE166">
        <v>102</v>
      </c>
    </row>
    <row r="167" spans="3:31" x14ac:dyDescent="0.2">
      <c r="C167" t="s">
        <v>1407</v>
      </c>
      <c r="G167" t="str">
        <v>Random forest</v>
      </c>
      <c r="P167" t="s">
        <v>1254</v>
      </c>
      <c r="Q167" t="s">
        <v>58</v>
      </c>
      <c r="W167" t="s">
        <v>485</v>
      </c>
      <c r="AD167" t="s">
        <v>959</v>
      </c>
      <c r="AE167">
        <v>5</v>
      </c>
    </row>
    <row r="168" spans="3:31" x14ac:dyDescent="0.2">
      <c r="C168" t="s">
        <v>710</v>
      </c>
      <c r="G168" t="str">
        <v>Random Utility Maximization</v>
      </c>
      <c r="P168" t="s">
        <v>1260</v>
      </c>
      <c r="Q168" t="s">
        <v>46</v>
      </c>
      <c r="W168" t="s">
        <v>485</v>
      </c>
      <c r="AD168" t="s">
        <v>992</v>
      </c>
      <c r="AE168">
        <v>12</v>
      </c>
    </row>
    <row r="169" spans="3:31" x14ac:dyDescent="0.2">
      <c r="C169" t="s">
        <v>716</v>
      </c>
      <c r="G169" t="str">
        <v>Random Utility Model</v>
      </c>
      <c r="P169" t="s">
        <v>1265</v>
      </c>
      <c r="Q169" t="s">
        <v>32</v>
      </c>
      <c r="W169" t="s">
        <v>127</v>
      </c>
      <c r="AD169" t="s">
        <v>546</v>
      </c>
      <c r="AE169">
        <v>13</v>
      </c>
    </row>
    <row r="170" spans="3:31" x14ac:dyDescent="0.2">
      <c r="C170" t="s">
        <v>1408</v>
      </c>
      <c r="G170" t="str">
        <v>Ranking Algorithm</v>
      </c>
      <c r="P170" t="s">
        <v>618</v>
      </c>
      <c r="Q170" t="s">
        <v>32</v>
      </c>
      <c r="W170" t="s">
        <v>1271</v>
      </c>
      <c r="AD170" t="s">
        <v>1256</v>
      </c>
      <c r="AE170">
        <v>27</v>
      </c>
    </row>
    <row r="171" spans="3:31" x14ac:dyDescent="0.2">
      <c r="C171" t="s">
        <v>228</v>
      </c>
      <c r="G171" t="str">
        <v>Recurrent neural networks</v>
      </c>
      <c r="P171" t="s">
        <v>1278</v>
      </c>
      <c r="Q171" t="s">
        <v>32</v>
      </c>
      <c r="W171" t="s">
        <v>28</v>
      </c>
      <c r="AD171" t="s">
        <v>834</v>
      </c>
      <c r="AE171">
        <v>38</v>
      </c>
    </row>
    <row r="172" spans="3:31" x14ac:dyDescent="0.2">
      <c r="C172" t="s">
        <v>1409</v>
      </c>
      <c r="G172" t="str">
        <v>regression analysis</v>
      </c>
      <c r="P172" t="s">
        <v>1285</v>
      </c>
      <c r="Q172" t="s">
        <v>32</v>
      </c>
      <c r="W172" t="s">
        <v>1284</v>
      </c>
      <c r="AD172" t="s">
        <v>1295</v>
      </c>
      <c r="AE172">
        <v>128</v>
      </c>
    </row>
    <row r="173" spans="3:31" x14ac:dyDescent="0.2">
      <c r="C173" t="s">
        <v>919</v>
      </c>
      <c r="G173" t="str">
        <v>regression model</v>
      </c>
      <c r="P173" t="s">
        <v>1293</v>
      </c>
      <c r="Q173" t="s">
        <v>728</v>
      </c>
      <c r="W173" t="s">
        <v>127</v>
      </c>
      <c r="AD173" t="s">
        <v>970</v>
      </c>
      <c r="AE173">
        <v>77</v>
      </c>
    </row>
    <row r="174" spans="3:31" x14ac:dyDescent="0.2">
      <c r="C174" t="s">
        <v>727</v>
      </c>
      <c r="G174" t="str">
        <v>Regression Trees</v>
      </c>
      <c r="P174" t="s">
        <v>481</v>
      </c>
      <c r="Q174" t="s">
        <v>1514</v>
      </c>
      <c r="W174" t="s">
        <v>54</v>
      </c>
      <c r="AD174" t="s">
        <v>741</v>
      </c>
      <c r="AE174">
        <v>8</v>
      </c>
    </row>
    <row r="175" spans="3:31" x14ac:dyDescent="0.2">
      <c r="C175" t="s">
        <v>1410</v>
      </c>
      <c r="G175" t="str">
        <v>Reliability Buffer Time</v>
      </c>
      <c r="P175" t="s">
        <v>30</v>
      </c>
      <c r="Q175" t="s">
        <v>32</v>
      </c>
      <c r="W175" t="s">
        <v>1302</v>
      </c>
      <c r="AD175" t="s">
        <v>1289</v>
      </c>
      <c r="AE175">
        <v>10</v>
      </c>
    </row>
    <row r="176" spans="3:31" x14ac:dyDescent="0.2">
      <c r="C176" t="s">
        <v>1411</v>
      </c>
      <c r="G176" t="str">
        <v>ReliefF</v>
      </c>
      <c r="P176" t="s">
        <v>58</v>
      </c>
      <c r="Q176" t="s">
        <v>58</v>
      </c>
      <c r="W176" t="s">
        <v>1309</v>
      </c>
      <c r="AD176" t="s">
        <v>827</v>
      </c>
      <c r="AE176">
        <v>14</v>
      </c>
    </row>
    <row r="177" spans="3:23" x14ac:dyDescent="0.2">
      <c r="C177" t="s">
        <v>321</v>
      </c>
      <c r="G177" t="str">
        <v>Ridership prediction model</v>
      </c>
      <c r="P177" t="s">
        <v>510</v>
      </c>
      <c r="Q177" t="s">
        <v>46</v>
      </c>
      <c r="W177" t="s">
        <v>1271</v>
      </c>
    </row>
    <row r="178" spans="3:23" x14ac:dyDescent="0.2">
      <c r="C178" t="s">
        <v>745</v>
      </c>
      <c r="G178" t="str">
        <v>RNN</v>
      </c>
      <c r="P178" t="s">
        <v>1316</v>
      </c>
      <c r="Q178" t="s">
        <v>58</v>
      </c>
    </row>
    <row r="179" spans="3:23" x14ac:dyDescent="0.2">
      <c r="C179" t="s">
        <v>1374</v>
      </c>
      <c r="G179" t="str">
        <v>Rodriguez–Laio 2014</v>
      </c>
      <c r="Q179" t="s">
        <v>58</v>
      </c>
    </row>
    <row r="180" spans="3:23" x14ac:dyDescent="0.2">
      <c r="C180" t="s">
        <v>1412</v>
      </c>
      <c r="G180" t="str">
        <v>Route travel time prediction model</v>
      </c>
      <c r="Q180" t="s">
        <v>58</v>
      </c>
    </row>
    <row r="181" spans="3:23" x14ac:dyDescent="0.2">
      <c r="C181" t="s">
        <v>1413</v>
      </c>
      <c r="G181" t="str">
        <v>Route-based analysis</v>
      </c>
      <c r="Q181" t="s">
        <v>58</v>
      </c>
    </row>
    <row r="182" spans="3:23" x14ac:dyDescent="0.2">
      <c r="C182" t="s">
        <v>1395</v>
      </c>
      <c r="G182" t="str">
        <v>rule-based procedure</v>
      </c>
      <c r="Q182" t="s">
        <v>79</v>
      </c>
    </row>
    <row r="183" spans="3:23" x14ac:dyDescent="0.2">
      <c r="C183" t="s">
        <v>79</v>
      </c>
      <c r="G183" t="str">
        <v>Self organizing map</v>
      </c>
      <c r="Q183" t="s">
        <v>79</v>
      </c>
    </row>
    <row r="184" spans="3:23" x14ac:dyDescent="0.2">
      <c r="C184" t="s">
        <v>79</v>
      </c>
      <c r="G184" t="str">
        <v>Semiparametric regression</v>
      </c>
      <c r="Q184" t="s">
        <v>510</v>
      </c>
    </row>
    <row r="185" spans="3:23" x14ac:dyDescent="0.2">
      <c r="C185" t="s">
        <v>1414</v>
      </c>
      <c r="G185" t="str">
        <v>SHAP</v>
      </c>
      <c r="Q185" t="s">
        <v>510</v>
      </c>
    </row>
    <row r="186" spans="3:23" x14ac:dyDescent="0.2">
      <c r="C186" t="s">
        <v>1415</v>
      </c>
      <c r="G186" t="str">
        <v>Shapley Additive Explanations</v>
      </c>
      <c r="Q186" t="s">
        <v>58</v>
      </c>
    </row>
    <row r="187" spans="3:23" x14ac:dyDescent="0.2">
      <c r="C187" t="s">
        <v>1416</v>
      </c>
      <c r="G187" t="str">
        <v>Single-layer perceptron neural networks</v>
      </c>
      <c r="Q187" t="s">
        <v>46</v>
      </c>
    </row>
    <row r="188" spans="3:23" x14ac:dyDescent="0.2">
      <c r="C188" t="s">
        <v>1417</v>
      </c>
      <c r="G188" t="str">
        <v>SMOTE</v>
      </c>
      <c r="Q188" t="s">
        <v>32</v>
      </c>
    </row>
    <row r="189" spans="3:23" x14ac:dyDescent="0.2">
      <c r="C189" t="s">
        <v>228</v>
      </c>
      <c r="G189" t="str">
        <v>Spatial cluster partitioning algorithm</v>
      </c>
      <c r="Q189" t="s">
        <v>79</v>
      </c>
    </row>
    <row r="190" spans="3:23" x14ac:dyDescent="0.2">
      <c r="C190" t="s">
        <v>788</v>
      </c>
      <c r="G190" t="str">
        <v>Spatial Durbin Model</v>
      </c>
      <c r="Q190" t="s">
        <v>46</v>
      </c>
    </row>
    <row r="191" spans="3:23" x14ac:dyDescent="0.2">
      <c r="C191" t="s">
        <v>793</v>
      </c>
      <c r="G191" t="str">
        <v>Spatial Error</v>
      </c>
      <c r="Q191" t="s">
        <v>46</v>
      </c>
    </row>
    <row r="192" spans="3:23" x14ac:dyDescent="0.2">
      <c r="C192" t="s">
        <v>1418</v>
      </c>
      <c r="G192" t="str">
        <v>Spatial Error Model</v>
      </c>
      <c r="Q192" t="s">
        <v>264</v>
      </c>
    </row>
    <row r="193" spans="3:17" x14ac:dyDescent="0.2">
      <c r="C193" t="s">
        <v>1342</v>
      </c>
      <c r="G193" t="str">
        <v>Spatial lag</v>
      </c>
      <c r="Q193" t="s">
        <v>510</v>
      </c>
    </row>
    <row r="194" spans="3:17" x14ac:dyDescent="0.2">
      <c r="C194" t="s">
        <v>1419</v>
      </c>
      <c r="G194" t="str">
        <v>Spatial lag model</v>
      </c>
      <c r="Q194" t="s">
        <v>32</v>
      </c>
    </row>
    <row r="195" spans="3:17" x14ac:dyDescent="0.2">
      <c r="C195" t="s">
        <v>1420</v>
      </c>
      <c r="G195" t="str">
        <v>Spatial log model</v>
      </c>
      <c r="Q195" t="s">
        <v>58</v>
      </c>
    </row>
    <row r="196" spans="3:17" x14ac:dyDescent="0.2">
      <c r="C196" t="s">
        <v>1421</v>
      </c>
      <c r="G196" t="str">
        <v>Spectral Clustering</v>
      </c>
      <c r="Q196" t="s">
        <v>58</v>
      </c>
    </row>
    <row r="197" spans="3:17" x14ac:dyDescent="0.2">
      <c r="C197" t="s">
        <v>1422</v>
      </c>
      <c r="G197" t="str">
        <v>STGGA</v>
      </c>
      <c r="Q197" t="s">
        <v>32</v>
      </c>
    </row>
    <row r="198" spans="3:17" x14ac:dyDescent="0.2">
      <c r="C198" t="s">
        <v>228</v>
      </c>
      <c r="G198" t="str">
        <v>Stochastic model</v>
      </c>
      <c r="Q198" t="s">
        <v>32</v>
      </c>
    </row>
    <row r="199" spans="3:17" x14ac:dyDescent="0.2">
      <c r="C199" t="s">
        <v>1423</v>
      </c>
      <c r="G199" t="str">
        <v>Stochastic modeling</v>
      </c>
      <c r="Q199" t="s">
        <v>1043</v>
      </c>
    </row>
    <row r="200" spans="3:17" x14ac:dyDescent="0.2">
      <c r="C200" t="s">
        <v>1042</v>
      </c>
      <c r="G200" t="str">
        <v>Suits coefficients</v>
      </c>
      <c r="Q200" t="s">
        <v>728</v>
      </c>
    </row>
    <row r="201" spans="3:17" x14ac:dyDescent="0.2">
      <c r="C201" t="s">
        <v>823</v>
      </c>
      <c r="G201" t="str">
        <v>Support vector machine</v>
      </c>
      <c r="Q201" t="s">
        <v>46</v>
      </c>
    </row>
    <row r="202" spans="3:17" x14ac:dyDescent="0.2">
      <c r="C202" t="s">
        <v>830</v>
      </c>
      <c r="G202" t="str">
        <v>Suspect identification models</v>
      </c>
      <c r="Q202" t="s">
        <v>32</v>
      </c>
    </row>
    <row r="203" spans="3:17" x14ac:dyDescent="0.2">
      <c r="C203" t="s">
        <v>836</v>
      </c>
      <c r="G203" t="str">
        <v>SVR</v>
      </c>
      <c r="Q203" t="s">
        <v>30</v>
      </c>
    </row>
    <row r="204" spans="3:17" x14ac:dyDescent="0.2">
      <c r="C204" t="s">
        <v>843</v>
      </c>
      <c r="G204" t="str">
        <v>temporal motif enumeration algorithm</v>
      </c>
      <c r="Q204" t="s">
        <v>32</v>
      </c>
    </row>
    <row r="205" spans="3:17" x14ac:dyDescent="0.2">
      <c r="C205" t="s">
        <v>204</v>
      </c>
      <c r="G205" t="str">
        <v>TF-IDF</v>
      </c>
      <c r="Q205" t="s">
        <v>32</v>
      </c>
    </row>
    <row r="206" spans="3:17" x14ac:dyDescent="0.2">
      <c r="C206" t="s">
        <v>533</v>
      </c>
      <c r="G206" t="str">
        <v>Thresholding Multi-Channel Convolutional Neural Network</v>
      </c>
      <c r="Q206" t="s">
        <v>510</v>
      </c>
    </row>
    <row r="207" spans="3:17" x14ac:dyDescent="0.2">
      <c r="C207" t="s">
        <v>860</v>
      </c>
      <c r="G207" t="str">
        <v>Time discrepancy identification algorithm</v>
      </c>
      <c r="Q207" t="s">
        <v>32</v>
      </c>
    </row>
    <row r="208" spans="3:17" x14ac:dyDescent="0.2">
      <c r="C208" t="s">
        <v>533</v>
      </c>
      <c r="G208" t="str">
        <v>Time saving algorithm</v>
      </c>
      <c r="Q208" t="s">
        <v>58</v>
      </c>
    </row>
    <row r="209" spans="3:17" x14ac:dyDescent="0.2">
      <c r="C209" t="s">
        <v>1396</v>
      </c>
      <c r="G209" t="str">
        <v>time series analysis</v>
      </c>
      <c r="Q209" t="s">
        <v>58</v>
      </c>
    </row>
    <row r="210" spans="3:17" x14ac:dyDescent="0.2">
      <c r="C210" t="s">
        <v>1395</v>
      </c>
      <c r="G210" t="str">
        <v>top-k neighbor</v>
      </c>
      <c r="Q210" t="s">
        <v>58</v>
      </c>
    </row>
    <row r="211" spans="3:17" x14ac:dyDescent="0.2">
      <c r="C211" t="s">
        <v>1424</v>
      </c>
      <c r="G211" t="str">
        <v>Transit competitiveness index</v>
      </c>
      <c r="Q211" t="s">
        <v>58</v>
      </c>
    </row>
    <row r="212" spans="3:17" x14ac:dyDescent="0.2">
      <c r="C212" t="s">
        <v>1395</v>
      </c>
      <c r="G212" t="str">
        <v>Transit tensor factorization</v>
      </c>
      <c r="Q212" t="s">
        <v>1501</v>
      </c>
    </row>
    <row r="213" spans="3:17" x14ac:dyDescent="0.2">
      <c r="C213" t="s">
        <v>1425</v>
      </c>
      <c r="G213" t="str">
        <v>trip choice model</v>
      </c>
      <c r="Q213" t="s">
        <v>32</v>
      </c>
    </row>
    <row r="214" spans="3:17" x14ac:dyDescent="0.2">
      <c r="C214" t="s">
        <v>228</v>
      </c>
      <c r="G214" t="str">
        <v>Trip destination estimation model</v>
      </c>
      <c r="Q214" t="s">
        <v>728</v>
      </c>
    </row>
    <row r="215" spans="3:17" x14ac:dyDescent="0.2">
      <c r="C215" t="s">
        <v>1426</v>
      </c>
      <c r="G215" t="str">
        <v>trip reconstruction</v>
      </c>
      <c r="Q215" t="s">
        <v>728</v>
      </c>
    </row>
    <row r="216" spans="3:17" x14ac:dyDescent="0.2">
      <c r="C216" t="s">
        <v>1427</v>
      </c>
      <c r="G216" t="str">
        <v>trip-chaining</v>
      </c>
      <c r="Q216" t="s">
        <v>32</v>
      </c>
    </row>
    <row r="217" spans="3:17" x14ac:dyDescent="0.2">
      <c r="C217" t="s">
        <v>204</v>
      </c>
      <c r="G217" t="str">
        <v>trip-chaining model</v>
      </c>
      <c r="Q217" t="s">
        <v>58</v>
      </c>
    </row>
    <row r="218" spans="3:17" x14ac:dyDescent="0.2">
      <c r="C218" t="s">
        <v>1428</v>
      </c>
      <c r="G218" t="str">
        <v>Unidirectional Long short-term memory</v>
      </c>
      <c r="Q218" t="s">
        <v>46</v>
      </c>
    </row>
    <row r="219" spans="3:17" x14ac:dyDescent="0.2">
      <c r="C219" t="s">
        <v>1429</v>
      </c>
      <c r="G219" t="str">
        <v>Vector space model</v>
      </c>
      <c r="Q219" t="s">
        <v>510</v>
      </c>
    </row>
    <row r="220" spans="3:17" x14ac:dyDescent="0.2">
      <c r="C220" t="s">
        <v>1430</v>
      </c>
      <c r="G220" t="str">
        <v>Ward's algorithm</v>
      </c>
      <c r="Q220" t="s">
        <v>618</v>
      </c>
    </row>
    <row r="221" spans="3:17" x14ac:dyDescent="0.2">
      <c r="C221" t="s">
        <v>617</v>
      </c>
      <c r="G221" t="str">
        <v>WS-DBSCAN</v>
      </c>
      <c r="Q221" t="s">
        <v>1501</v>
      </c>
    </row>
    <row r="222" spans="3:17" x14ac:dyDescent="0.2">
      <c r="C222" t="s">
        <v>1431</v>
      </c>
      <c r="G222" t="str">
        <v>XGB</v>
      </c>
      <c r="Q222" t="s">
        <v>32</v>
      </c>
    </row>
    <row r="223" spans="3:17" x14ac:dyDescent="0.2">
      <c r="C223" t="s">
        <v>204</v>
      </c>
      <c r="G223" t="str">
        <v>XGBoost</v>
      </c>
      <c r="Q223" t="s">
        <v>30</v>
      </c>
    </row>
    <row r="224" spans="3:17" x14ac:dyDescent="0.2">
      <c r="C224" t="s">
        <v>919</v>
      </c>
      <c r="G224" t="str">
        <v>X-means</v>
      </c>
      <c r="Q224" t="s">
        <v>510</v>
      </c>
    </row>
    <row r="225" spans="3:17" x14ac:dyDescent="0.2">
      <c r="C225" t="s">
        <v>510</v>
      </c>
      <c r="G225" t="str">
        <v>Z-score</v>
      </c>
      <c r="Q225" t="s">
        <v>32</v>
      </c>
    </row>
    <row r="226" spans="3:17" x14ac:dyDescent="0.2">
      <c r="C226" t="s">
        <v>1432</v>
      </c>
      <c r="Q226" t="s">
        <v>32</v>
      </c>
    </row>
    <row r="227" spans="3:17" x14ac:dyDescent="0.2">
      <c r="C227" t="s">
        <v>1433</v>
      </c>
      <c r="Q227" t="s">
        <v>58</v>
      </c>
    </row>
    <row r="228" spans="3:17" x14ac:dyDescent="0.2">
      <c r="C228" t="s">
        <v>936</v>
      </c>
      <c r="Q228" t="s">
        <v>46</v>
      </c>
    </row>
    <row r="229" spans="3:17" x14ac:dyDescent="0.2">
      <c r="C229" t="s">
        <v>943</v>
      </c>
      <c r="Q229" t="s">
        <v>32</v>
      </c>
    </row>
    <row r="230" spans="3:17" x14ac:dyDescent="0.2">
      <c r="C230" t="s">
        <v>228</v>
      </c>
      <c r="Q230" t="s">
        <v>618</v>
      </c>
    </row>
    <row r="231" spans="3:17" x14ac:dyDescent="0.2">
      <c r="C231" t="s">
        <v>955</v>
      </c>
      <c r="Q231" t="s">
        <v>1515</v>
      </c>
    </row>
    <row r="232" spans="3:17" x14ac:dyDescent="0.2">
      <c r="C232" t="s">
        <v>1134</v>
      </c>
      <c r="Q232" t="s">
        <v>79</v>
      </c>
    </row>
    <row r="233" spans="3:17" x14ac:dyDescent="0.2">
      <c r="C233" t="s">
        <v>79</v>
      </c>
      <c r="Q233" t="s">
        <v>32</v>
      </c>
    </row>
    <row r="234" spans="3:17" x14ac:dyDescent="0.2">
      <c r="C234" t="s">
        <v>32</v>
      </c>
      <c r="Q234" t="s">
        <v>58</v>
      </c>
    </row>
    <row r="235" spans="3:17" x14ac:dyDescent="0.2">
      <c r="C235" t="s">
        <v>321</v>
      </c>
      <c r="Q235" t="s">
        <v>32</v>
      </c>
    </row>
    <row r="236" spans="3:17" x14ac:dyDescent="0.2">
      <c r="C236" t="s">
        <v>533</v>
      </c>
      <c r="Q236" t="s">
        <v>264</v>
      </c>
    </row>
    <row r="237" spans="3:17" x14ac:dyDescent="0.2">
      <c r="C237" t="s">
        <v>1389</v>
      </c>
      <c r="Q237" t="s">
        <v>58</v>
      </c>
    </row>
    <row r="238" spans="3:17" x14ac:dyDescent="0.2">
      <c r="C238" t="s">
        <v>1434</v>
      </c>
      <c r="Q238" t="s">
        <v>32</v>
      </c>
    </row>
    <row r="239" spans="3:17" x14ac:dyDescent="0.2">
      <c r="C239" t="s">
        <v>204</v>
      </c>
      <c r="Q239" t="s">
        <v>984</v>
      </c>
    </row>
    <row r="240" spans="3:17" x14ac:dyDescent="0.2">
      <c r="C240" t="s">
        <v>983</v>
      </c>
      <c r="Q240" t="s">
        <v>58</v>
      </c>
    </row>
    <row r="241" spans="3:17" x14ac:dyDescent="0.2">
      <c r="C241" t="s">
        <v>321</v>
      </c>
      <c r="Q241" t="s">
        <v>1435</v>
      </c>
    </row>
    <row r="242" spans="3:17" x14ac:dyDescent="0.2">
      <c r="C242" t="s">
        <v>1435</v>
      </c>
      <c r="Q242" t="s">
        <v>58</v>
      </c>
    </row>
    <row r="243" spans="3:17" x14ac:dyDescent="0.2">
      <c r="C243" t="s">
        <v>1436</v>
      </c>
      <c r="Q243" t="s">
        <v>32</v>
      </c>
    </row>
    <row r="244" spans="3:17" x14ac:dyDescent="0.2">
      <c r="C244" t="s">
        <v>1001</v>
      </c>
      <c r="Q244" t="s">
        <v>574</v>
      </c>
    </row>
    <row r="245" spans="3:17" x14ac:dyDescent="0.2">
      <c r="C245" t="s">
        <v>1007</v>
      </c>
      <c r="Q245" t="s">
        <v>193</v>
      </c>
    </row>
    <row r="246" spans="3:17" x14ac:dyDescent="0.2">
      <c r="C246" t="s">
        <v>1437</v>
      </c>
      <c r="Q246" t="s">
        <v>193</v>
      </c>
    </row>
    <row r="247" spans="3:17" x14ac:dyDescent="0.2">
      <c r="C247" t="s">
        <v>1438</v>
      </c>
      <c r="Q247" t="s">
        <v>193</v>
      </c>
    </row>
    <row r="248" spans="3:17" x14ac:dyDescent="0.2">
      <c r="C248" t="s">
        <v>1439</v>
      </c>
      <c r="Q248" t="s">
        <v>58</v>
      </c>
    </row>
    <row r="249" spans="3:17" x14ac:dyDescent="0.2">
      <c r="C249" t="s">
        <v>1019</v>
      </c>
      <c r="Q249" t="s">
        <v>58</v>
      </c>
    </row>
    <row r="250" spans="3:17" x14ac:dyDescent="0.2">
      <c r="C250" t="s">
        <v>1440</v>
      </c>
      <c r="Q250" t="s">
        <v>58</v>
      </c>
    </row>
    <row r="251" spans="3:17" x14ac:dyDescent="0.2">
      <c r="C251" t="s">
        <v>1441</v>
      </c>
      <c r="Q251" t="s">
        <v>58</v>
      </c>
    </row>
    <row r="252" spans="3:17" x14ac:dyDescent="0.2">
      <c r="C252" t="s">
        <v>1442</v>
      </c>
      <c r="Q252" t="s">
        <v>58</v>
      </c>
    </row>
    <row r="253" spans="3:17" x14ac:dyDescent="0.2">
      <c r="C253" t="s">
        <v>1443</v>
      </c>
      <c r="Q253" t="s">
        <v>58</v>
      </c>
    </row>
    <row r="254" spans="3:17" x14ac:dyDescent="0.2">
      <c r="C254" t="s">
        <v>1441</v>
      </c>
      <c r="Q254" t="s">
        <v>1510</v>
      </c>
    </row>
    <row r="255" spans="3:17" x14ac:dyDescent="0.2">
      <c r="C255" t="s">
        <v>1444</v>
      </c>
      <c r="Q255" t="s">
        <v>1510</v>
      </c>
    </row>
    <row r="256" spans="3:17" x14ac:dyDescent="0.2">
      <c r="C256" t="s">
        <v>1445</v>
      </c>
      <c r="Q256" t="s">
        <v>1510</v>
      </c>
    </row>
    <row r="257" spans="3:17" x14ac:dyDescent="0.2">
      <c r="C257" t="s">
        <v>1446</v>
      </c>
      <c r="Q257" t="s">
        <v>1501</v>
      </c>
    </row>
    <row r="258" spans="3:17" x14ac:dyDescent="0.2">
      <c r="C258" t="s">
        <v>394</v>
      </c>
      <c r="Q258" t="s">
        <v>193</v>
      </c>
    </row>
    <row r="259" spans="3:17" x14ac:dyDescent="0.2">
      <c r="C259" t="s">
        <v>1048</v>
      </c>
      <c r="Q259" t="s">
        <v>46</v>
      </c>
    </row>
    <row r="260" spans="3:17" x14ac:dyDescent="0.2">
      <c r="C260" t="s">
        <v>1054</v>
      </c>
      <c r="Q260" t="s">
        <v>32</v>
      </c>
    </row>
    <row r="261" spans="3:17" x14ac:dyDescent="0.2">
      <c r="C261" t="s">
        <v>204</v>
      </c>
      <c r="Q261" t="s">
        <v>1516</v>
      </c>
    </row>
    <row r="262" spans="3:17" x14ac:dyDescent="0.2">
      <c r="C262" t="s">
        <v>1447</v>
      </c>
      <c r="Q262" t="s">
        <v>30</v>
      </c>
    </row>
    <row r="263" spans="3:17" x14ac:dyDescent="0.2">
      <c r="C263" t="s">
        <v>1448</v>
      </c>
      <c r="Q263" t="s">
        <v>30</v>
      </c>
    </row>
    <row r="264" spans="3:17" x14ac:dyDescent="0.2">
      <c r="C264" t="s">
        <v>431</v>
      </c>
      <c r="Q264" t="s">
        <v>30</v>
      </c>
    </row>
    <row r="265" spans="3:17" x14ac:dyDescent="0.2">
      <c r="C265" t="s">
        <v>1449</v>
      </c>
      <c r="Q265" t="s">
        <v>30</v>
      </c>
    </row>
    <row r="266" spans="3:17" x14ac:dyDescent="0.2">
      <c r="C266" t="s">
        <v>1450</v>
      </c>
      <c r="Q266" t="s">
        <v>30</v>
      </c>
    </row>
    <row r="267" spans="3:17" x14ac:dyDescent="0.2">
      <c r="C267" t="s">
        <v>1451</v>
      </c>
      <c r="Q267" t="s">
        <v>1517</v>
      </c>
    </row>
    <row r="268" spans="3:17" x14ac:dyDescent="0.2">
      <c r="C268" t="s">
        <v>1452</v>
      </c>
      <c r="Q268" t="s">
        <v>32</v>
      </c>
    </row>
    <row r="269" spans="3:17" x14ac:dyDescent="0.2">
      <c r="C269" t="s">
        <v>228</v>
      </c>
      <c r="Q269" t="s">
        <v>1043</v>
      </c>
    </row>
    <row r="270" spans="3:17" x14ac:dyDescent="0.2">
      <c r="C270" t="s">
        <v>1453</v>
      </c>
      <c r="Q270" t="s">
        <v>1133</v>
      </c>
    </row>
    <row r="271" spans="3:17" x14ac:dyDescent="0.2">
      <c r="C271" t="s">
        <v>1133</v>
      </c>
      <c r="Q271" t="s">
        <v>30</v>
      </c>
    </row>
    <row r="272" spans="3:17" x14ac:dyDescent="0.2">
      <c r="C272" t="s">
        <v>1454</v>
      </c>
      <c r="Q272" t="s">
        <v>32</v>
      </c>
    </row>
    <row r="273" spans="3:17" x14ac:dyDescent="0.2">
      <c r="C273" t="s">
        <v>204</v>
      </c>
      <c r="Q273" t="s">
        <v>58</v>
      </c>
    </row>
    <row r="274" spans="3:17" x14ac:dyDescent="0.2">
      <c r="C274" t="s">
        <v>1455</v>
      </c>
      <c r="Q274" t="s">
        <v>1501</v>
      </c>
    </row>
    <row r="275" spans="3:17" x14ac:dyDescent="0.2">
      <c r="C275" t="s">
        <v>336</v>
      </c>
      <c r="Q275" t="s">
        <v>1260</v>
      </c>
    </row>
    <row r="276" spans="3:17" x14ac:dyDescent="0.2">
      <c r="C276" t="s">
        <v>1456</v>
      </c>
      <c r="Q276" t="s">
        <v>1260</v>
      </c>
    </row>
    <row r="277" spans="3:17" x14ac:dyDescent="0.2">
      <c r="C277" t="s">
        <v>1457</v>
      </c>
      <c r="Q277" t="s">
        <v>1260</v>
      </c>
    </row>
    <row r="278" spans="3:17" x14ac:dyDescent="0.2">
      <c r="C278" t="s">
        <v>1458</v>
      </c>
      <c r="Q278" t="s">
        <v>58</v>
      </c>
    </row>
    <row r="279" spans="3:17" x14ac:dyDescent="0.2">
      <c r="C279" t="s">
        <v>1459</v>
      </c>
      <c r="Q279" t="s">
        <v>46</v>
      </c>
    </row>
    <row r="280" spans="3:17" x14ac:dyDescent="0.2">
      <c r="C280" t="s">
        <v>46</v>
      </c>
      <c r="Q280" t="s">
        <v>58</v>
      </c>
    </row>
    <row r="281" spans="3:17" x14ac:dyDescent="0.2">
      <c r="C281" t="s">
        <v>1460</v>
      </c>
      <c r="Q281" t="s">
        <v>984</v>
      </c>
    </row>
    <row r="282" spans="3:17" x14ac:dyDescent="0.2">
      <c r="C282" t="s">
        <v>1157</v>
      </c>
      <c r="Q282" t="s">
        <v>58</v>
      </c>
    </row>
    <row r="283" spans="3:17" x14ac:dyDescent="0.2">
      <c r="C283" t="s">
        <v>1461</v>
      </c>
      <c r="Q283" t="s">
        <v>728</v>
      </c>
    </row>
    <row r="284" spans="3:17" x14ac:dyDescent="0.2">
      <c r="C284" t="s">
        <v>1462</v>
      </c>
      <c r="Q284" t="s">
        <v>481</v>
      </c>
    </row>
    <row r="285" spans="3:17" x14ac:dyDescent="0.2">
      <c r="C285" t="s">
        <v>1379</v>
      </c>
      <c r="Q285" t="s">
        <v>1463</v>
      </c>
    </row>
    <row r="286" spans="3:17" x14ac:dyDescent="0.2">
      <c r="C286" t="s">
        <v>1463</v>
      </c>
      <c r="Q286" t="s">
        <v>32</v>
      </c>
    </row>
    <row r="287" spans="3:17" x14ac:dyDescent="0.2">
      <c r="C287" t="s">
        <v>1464</v>
      </c>
      <c r="Q287" t="s">
        <v>193</v>
      </c>
    </row>
    <row r="288" spans="3:17" x14ac:dyDescent="0.2">
      <c r="C288" t="s">
        <v>1465</v>
      </c>
      <c r="Q288" t="s">
        <v>46</v>
      </c>
    </row>
    <row r="289" spans="3:17" x14ac:dyDescent="0.2">
      <c r="C289" t="s">
        <v>46</v>
      </c>
      <c r="Q289" t="s">
        <v>32</v>
      </c>
    </row>
    <row r="290" spans="3:17" x14ac:dyDescent="0.2">
      <c r="C290" t="s">
        <v>204</v>
      </c>
      <c r="Q290" t="s">
        <v>1501</v>
      </c>
    </row>
    <row r="291" spans="3:17" x14ac:dyDescent="0.2">
      <c r="C291" t="s">
        <v>336</v>
      </c>
      <c r="Q291" t="s">
        <v>193</v>
      </c>
    </row>
    <row r="292" spans="3:17" x14ac:dyDescent="0.2">
      <c r="C292" t="s">
        <v>193</v>
      </c>
      <c r="Q292" t="s">
        <v>58</v>
      </c>
    </row>
    <row r="293" spans="3:17" x14ac:dyDescent="0.2">
      <c r="C293" t="s">
        <v>1466</v>
      </c>
      <c r="Q293" t="s">
        <v>1509</v>
      </c>
    </row>
    <row r="294" spans="3:17" x14ac:dyDescent="0.2">
      <c r="C294" t="s">
        <v>1467</v>
      </c>
      <c r="Q294" t="s">
        <v>32</v>
      </c>
    </row>
    <row r="295" spans="3:17" x14ac:dyDescent="0.2">
      <c r="C295" t="s">
        <v>204</v>
      </c>
      <c r="Q295" t="s">
        <v>30</v>
      </c>
    </row>
    <row r="296" spans="3:17" x14ac:dyDescent="0.2">
      <c r="C296" t="s">
        <v>1468</v>
      </c>
      <c r="Q296" t="s">
        <v>32</v>
      </c>
    </row>
    <row r="297" spans="3:17" x14ac:dyDescent="0.2">
      <c r="C297" t="s">
        <v>228</v>
      </c>
      <c r="Q297" t="s">
        <v>32</v>
      </c>
    </row>
    <row r="298" spans="3:17" x14ac:dyDescent="0.2">
      <c r="C298" t="s">
        <v>1469</v>
      </c>
      <c r="Q298" t="s">
        <v>984</v>
      </c>
    </row>
    <row r="299" spans="3:17" x14ac:dyDescent="0.2">
      <c r="C299" t="s">
        <v>1157</v>
      </c>
      <c r="Q299" t="s">
        <v>984</v>
      </c>
    </row>
    <row r="300" spans="3:17" x14ac:dyDescent="0.2">
      <c r="C300" t="s">
        <v>1470</v>
      </c>
      <c r="Q300" t="s">
        <v>1518</v>
      </c>
    </row>
    <row r="301" spans="3:17" x14ac:dyDescent="0.2">
      <c r="C301" t="s">
        <v>1471</v>
      </c>
      <c r="Q301" t="s">
        <v>58</v>
      </c>
    </row>
    <row r="302" spans="3:17" x14ac:dyDescent="0.2">
      <c r="C302" t="s">
        <v>1472</v>
      </c>
      <c r="Q302" t="s">
        <v>30</v>
      </c>
    </row>
    <row r="303" spans="3:17" x14ac:dyDescent="0.2">
      <c r="C303" t="s">
        <v>1468</v>
      </c>
      <c r="Q303" t="s">
        <v>46</v>
      </c>
    </row>
    <row r="304" spans="3:17" x14ac:dyDescent="0.2">
      <c r="C304" t="s">
        <v>46</v>
      </c>
      <c r="Q304" t="s">
        <v>1513</v>
      </c>
    </row>
    <row r="305" spans="3:17" x14ac:dyDescent="0.2">
      <c r="C305" t="s">
        <v>1473</v>
      </c>
      <c r="Q305" t="s">
        <v>79</v>
      </c>
    </row>
    <row r="306" spans="3:17" x14ac:dyDescent="0.2">
      <c r="C306" t="s">
        <v>79</v>
      </c>
      <c r="Q306" t="s">
        <v>46</v>
      </c>
    </row>
    <row r="307" spans="3:17" x14ac:dyDescent="0.2">
      <c r="C307" t="s">
        <v>1474</v>
      </c>
      <c r="Q307" t="s">
        <v>46</v>
      </c>
    </row>
    <row r="308" spans="3:17" x14ac:dyDescent="0.2">
      <c r="C308" t="s">
        <v>46</v>
      </c>
      <c r="Q308" t="s">
        <v>1519</v>
      </c>
    </row>
    <row r="309" spans="3:17" x14ac:dyDescent="0.2">
      <c r="C309" t="s">
        <v>204</v>
      </c>
      <c r="Q309" t="s">
        <v>79</v>
      </c>
    </row>
    <row r="310" spans="3:17" x14ac:dyDescent="0.2">
      <c r="C310" t="s">
        <v>79</v>
      </c>
      <c r="Q310" t="s">
        <v>32</v>
      </c>
    </row>
    <row r="311" spans="3:17" x14ac:dyDescent="0.2">
      <c r="C311" t="s">
        <v>204</v>
      </c>
      <c r="Q311" t="s">
        <v>46</v>
      </c>
    </row>
    <row r="312" spans="3:17" x14ac:dyDescent="0.2">
      <c r="C312" t="s">
        <v>46</v>
      </c>
      <c r="Q312" t="s">
        <v>79</v>
      </c>
    </row>
    <row r="313" spans="3:17" x14ac:dyDescent="0.2">
      <c r="C313" t="s">
        <v>79</v>
      </c>
      <c r="Q313" t="s">
        <v>1260</v>
      </c>
    </row>
    <row r="314" spans="3:17" x14ac:dyDescent="0.2">
      <c r="C314" t="s">
        <v>1259</v>
      </c>
      <c r="Q314" t="s">
        <v>728</v>
      </c>
    </row>
    <row r="315" spans="3:17" x14ac:dyDescent="0.2">
      <c r="C315" t="s">
        <v>1475</v>
      </c>
      <c r="Q315" t="s">
        <v>1513</v>
      </c>
    </row>
    <row r="316" spans="3:17" x14ac:dyDescent="0.2">
      <c r="C316" t="s">
        <v>1476</v>
      </c>
      <c r="Q316" t="s">
        <v>58</v>
      </c>
    </row>
    <row r="317" spans="3:17" x14ac:dyDescent="0.2">
      <c r="C317" t="s">
        <v>1477</v>
      </c>
      <c r="Q317" t="s">
        <v>58</v>
      </c>
    </row>
    <row r="318" spans="3:17" x14ac:dyDescent="0.2">
      <c r="C318" t="s">
        <v>1478</v>
      </c>
      <c r="Q318" t="s">
        <v>618</v>
      </c>
    </row>
    <row r="319" spans="3:17" x14ac:dyDescent="0.2">
      <c r="C319" t="s">
        <v>1272</v>
      </c>
      <c r="Q319" t="s">
        <v>30</v>
      </c>
    </row>
    <row r="320" spans="3:17" x14ac:dyDescent="0.2">
      <c r="C320" t="s">
        <v>1479</v>
      </c>
      <c r="Q320" t="s">
        <v>30</v>
      </c>
    </row>
    <row r="321" spans="3:17" x14ac:dyDescent="0.2">
      <c r="C321" t="s">
        <v>1480</v>
      </c>
      <c r="Q321" t="s">
        <v>30</v>
      </c>
    </row>
    <row r="322" spans="3:17" x14ac:dyDescent="0.2">
      <c r="C322" t="s">
        <v>1481</v>
      </c>
      <c r="Q322" t="s">
        <v>618</v>
      </c>
    </row>
    <row r="323" spans="3:17" x14ac:dyDescent="0.2">
      <c r="C323" t="s">
        <v>1482</v>
      </c>
      <c r="Q323" t="s">
        <v>32</v>
      </c>
    </row>
    <row r="324" spans="3:17" x14ac:dyDescent="0.2">
      <c r="C324" t="s">
        <v>204</v>
      </c>
      <c r="Q324" t="s">
        <v>32</v>
      </c>
    </row>
    <row r="325" spans="3:17" x14ac:dyDescent="0.2">
      <c r="C325" t="s">
        <v>228</v>
      </c>
      <c r="Q325" t="s">
        <v>46</v>
      </c>
    </row>
    <row r="326" spans="3:17" x14ac:dyDescent="0.2">
      <c r="C326" t="s">
        <v>46</v>
      </c>
      <c r="Q326" t="s">
        <v>574</v>
      </c>
    </row>
    <row r="327" spans="3:17" x14ac:dyDescent="0.2">
      <c r="C327" t="s">
        <v>574</v>
      </c>
      <c r="Q327" t="s">
        <v>32</v>
      </c>
    </row>
    <row r="328" spans="3:17" x14ac:dyDescent="0.2">
      <c r="C328" t="s">
        <v>228</v>
      </c>
      <c r="Q328" t="s">
        <v>481</v>
      </c>
    </row>
    <row r="329" spans="3:17" x14ac:dyDescent="0.2">
      <c r="C329" t="s">
        <v>1297</v>
      </c>
      <c r="Q329" t="s">
        <v>30</v>
      </c>
    </row>
    <row r="330" spans="3:17" x14ac:dyDescent="0.2">
      <c r="C330" t="s">
        <v>1303</v>
      </c>
      <c r="Q330" t="s">
        <v>58</v>
      </c>
    </row>
    <row r="331" spans="3:17" x14ac:dyDescent="0.2">
      <c r="C331" t="s">
        <v>1310</v>
      </c>
      <c r="Q331" t="s">
        <v>510</v>
      </c>
    </row>
    <row r="332" spans="3:17" x14ac:dyDescent="0.2">
      <c r="C332" t="s">
        <v>1314</v>
      </c>
      <c r="Q332" t="s">
        <v>1517</v>
      </c>
    </row>
    <row r="333" spans="3:17" x14ac:dyDescent="0.2">
      <c r="C333" t="s">
        <v>1452</v>
      </c>
      <c r="Q333" t="s">
        <v>193</v>
      </c>
    </row>
    <row r="334" spans="3:17" x14ac:dyDescent="0.2">
      <c r="C334" t="s">
        <v>1483</v>
      </c>
      <c r="Q334" t="s">
        <v>193</v>
      </c>
    </row>
    <row r="335" spans="3:17" x14ac:dyDescent="0.2">
      <c r="C335" t="s">
        <v>1484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default_1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Leonardo David Monteiro Fialho</cp:lastModifiedBy>
  <cp:revision>8</cp:revision>
  <dcterms:created xsi:type="dcterms:W3CDTF">2023-09-13T11:00:38Z</dcterms:created>
  <dcterms:modified xsi:type="dcterms:W3CDTF">2025-01-08T10:17:34Z</dcterms:modified>
  <dc:language>es-ES</dc:language>
</cp:coreProperties>
</file>